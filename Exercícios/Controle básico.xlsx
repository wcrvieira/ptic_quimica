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gner\Downloads\"/>
    </mc:Choice>
  </mc:AlternateContent>
  <xr:revisionPtr revIDLastSave="0" documentId="13_ncr:1_{B4C591E6-879A-4294-A236-15B9FE09C9BC}" xr6:coauthVersionLast="47" xr6:coauthVersionMax="47" xr10:uidLastSave="{00000000-0000-0000-0000-000000000000}"/>
  <bookViews>
    <workbookView xWindow="-120" yWindow="-120" windowWidth="20730" windowHeight="11040" activeTab="1" xr2:uid="{8560CDDB-73D0-445B-B9C1-C7905941B13A}"/>
  </bookViews>
  <sheets>
    <sheet name="Orçamento" sheetId="1" r:id="rId1"/>
    <sheet name="Boletim" sheetId="3" r:id="rId2"/>
  </sheets>
  <definedNames>
    <definedName name="_xlnm.Print_Area" localSheetId="1">Boletim!$A$1:$I$11</definedName>
    <definedName name="_xlnm.Print_Area" localSheetId="0">Orçamento!$A$1:$J$12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3" l="1"/>
  <c r="J7" i="3"/>
  <c r="J8" i="3"/>
  <c r="D6" i="3"/>
  <c r="I6" i="3"/>
  <c r="I7" i="3"/>
  <c r="I8" i="3"/>
  <c r="I9" i="3"/>
  <c r="J9" i="3" s="1"/>
  <c r="I5" i="3"/>
  <c r="D7" i="3"/>
  <c r="D8" i="3"/>
  <c r="D9" i="3"/>
  <c r="D5" i="3"/>
  <c r="I5" i="1"/>
  <c r="J6" i="1"/>
  <c r="J7" i="1"/>
  <c r="J8" i="1"/>
  <c r="J9" i="1"/>
  <c r="J10" i="1"/>
  <c r="J5" i="1"/>
  <c r="I6" i="1"/>
  <c r="I7" i="1"/>
  <c r="I8" i="1"/>
  <c r="I9" i="1"/>
  <c r="I10" i="1"/>
  <c r="H6" i="1"/>
  <c r="H7" i="1"/>
  <c r="H8" i="1"/>
  <c r="H9" i="1"/>
  <c r="H10" i="1"/>
  <c r="H5" i="1"/>
  <c r="G7" i="1"/>
  <c r="G8" i="1"/>
  <c r="G9" i="1"/>
  <c r="G10" i="1"/>
  <c r="G6" i="1"/>
  <c r="G5" i="1"/>
  <c r="F6" i="1"/>
  <c r="F7" i="1"/>
  <c r="F8" i="1"/>
  <c r="F9" i="1"/>
  <c r="F10" i="1"/>
  <c r="F5" i="1"/>
  <c r="B2" i="1"/>
  <c r="J5" i="3" l="1"/>
  <c r="I11" i="3"/>
  <c r="J11" i="3" s="1"/>
  <c r="D11" i="3"/>
</calcChain>
</file>

<file path=xl/sharedStrings.xml><?xml version="1.0" encoding="utf-8"?>
<sst xmlns="http://schemas.openxmlformats.org/spreadsheetml/2006/main" count="62" uniqueCount="61">
  <si>
    <t>Orçamento Sintético</t>
  </si>
  <si>
    <t>Data:</t>
  </si>
  <si>
    <t>Código</t>
  </si>
  <si>
    <t>Item</t>
  </si>
  <si>
    <t>Descrição</t>
  </si>
  <si>
    <t>Quant.</t>
  </si>
  <si>
    <t>Preço Total (R$)</t>
  </si>
  <si>
    <t>00001</t>
  </si>
  <si>
    <t>00003</t>
  </si>
  <si>
    <t>00008</t>
  </si>
  <si>
    <t>00012</t>
  </si>
  <si>
    <t>00015</t>
  </si>
  <si>
    <t>00019</t>
  </si>
  <si>
    <t>90 dias</t>
  </si>
  <si>
    <t>Ar condicionado</t>
  </si>
  <si>
    <t>Ar condicionado Split Samsung 9000 btus</t>
  </si>
  <si>
    <t>Smartphone</t>
  </si>
  <si>
    <t>Smartphone Motorola Moto G8 Play 32G</t>
  </si>
  <si>
    <t>Ventilador</t>
  </si>
  <si>
    <t>Ventilador de teto Arno 150W</t>
  </si>
  <si>
    <t>Smart TV</t>
  </si>
  <si>
    <t>Smart TV Led 43" Sony 2 HDMI 2 USB</t>
  </si>
  <si>
    <t>Smart Câmera Wifi Positivo</t>
  </si>
  <si>
    <t>Câmera</t>
  </si>
  <si>
    <t>Bicicleta Houston Stinger, Aro 26, 21 Marchas Aço</t>
  </si>
  <si>
    <t>Bicicleta</t>
  </si>
  <si>
    <t>Preço unitário (R$)</t>
  </si>
  <si>
    <t>Totalização</t>
  </si>
  <si>
    <t>Boletim escolar</t>
  </si>
  <si>
    <t>CPF</t>
  </si>
  <si>
    <t>Nome</t>
  </si>
  <si>
    <t>1ª Nota</t>
  </si>
  <si>
    <t>2ª Nota</t>
  </si>
  <si>
    <t>3ª Nota</t>
  </si>
  <si>
    <t>4ª Nota</t>
  </si>
  <si>
    <t>Valor do desconto</t>
  </si>
  <si>
    <t>Média final</t>
  </si>
  <si>
    <t>Situação</t>
  </si>
  <si>
    <t>Obs.</t>
  </si>
  <si>
    <t>Data nascimento</t>
  </si>
  <si>
    <t>Idade</t>
  </si>
  <si>
    <t>Média da turma</t>
  </si>
  <si>
    <r>
      <rPr>
        <b/>
        <sz val="12"/>
        <color rgb="FF000000"/>
        <rFont val="Tahoma"/>
        <family val="2"/>
      </rPr>
      <t>Validade:</t>
    </r>
    <r>
      <rPr>
        <sz val="12"/>
        <color indexed="8"/>
        <rFont val="Tahoma"/>
        <family val="2"/>
      </rPr>
      <t xml:space="preserve"> 03 dias</t>
    </r>
  </si>
  <si>
    <t>Preço parcelado</t>
  </si>
  <si>
    <t>Preço à vista</t>
  </si>
  <si>
    <t>Curso: Microsoft Excel</t>
  </si>
  <si>
    <t>Eduarda Regina Vanessa Corte Real</t>
  </si>
  <si>
    <t>Breno Guilherme Teixeira</t>
  </si>
  <si>
    <t>Andrea Sophie Rosa Gomes</t>
  </si>
  <si>
    <t>Bárbara Sophia Helena Moreira</t>
  </si>
  <si>
    <t>340.959.315-23</t>
  </si>
  <si>
    <t>624.888.797-70</t>
  </si>
  <si>
    <t>137.836.962-91</t>
  </si>
  <si>
    <t>173.991.951-37</t>
  </si>
  <si>
    <t>966.951.012-05</t>
  </si>
  <si>
    <t>Juliano Bento Cardoso</t>
  </si>
  <si>
    <t>Valor das parcelas em 06 vezes (R$)</t>
  </si>
  <si>
    <t>N</t>
  </si>
  <si>
    <t>Média da escola</t>
  </si>
  <si>
    <t>1º Semestre/2026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</si>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</sst>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ahoma"/>
      <family val="2"/>
    </font>
    <font>
      <b/>
      <sz val="12"/>
      <color indexed="8"/>
      <name val="Tahoma"/>
      <family val="2"/>
    </font>
    <font>
      <b/>
      <sz val="14"/>
      <color indexed="8"/>
      <name val="Tahoma"/>
      <family val="2"/>
    </font>
    <font>
      <sz val="14"/>
      <color indexed="8"/>
      <name val="Tahoma"/>
      <family val="2"/>
    </font>
    <font>
      <sz val="14"/>
      <color theme="1"/>
      <name val="Tahoma"/>
      <family val="2"/>
    </font>
    <font>
      <b/>
      <sz val="14"/>
      <color theme="1"/>
      <name val="Tahoma"/>
      <family val="2"/>
    </font>
    <font>
      <b/>
      <sz val="16"/>
      <name val="Tahoma"/>
      <family val="2"/>
    </font>
    <font>
      <sz val="12"/>
      <color indexed="8"/>
      <name val="Tahoma"/>
      <family val="2"/>
    </font>
    <font>
      <b/>
      <sz val="12"/>
      <color rgb="FF000000"/>
      <name val="Tahoma"/>
      <family val="2"/>
    </font>
    <font>
      <sz val="12"/>
      <color theme="1"/>
      <name val="Tahoma"/>
      <family val="2"/>
    </font>
    <font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4" fontId="1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/>
    <xf numFmtId="0" fontId="3" fillId="0" borderId="6" xfId="0" applyFont="1" applyBorder="1"/>
    <xf numFmtId="0" fontId="3" fillId="0" borderId="8" xfId="0" applyFont="1" applyBorder="1"/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4" fontId="5" fillId="2" borderId="26" xfId="0" applyNumberFormat="1" applyFont="1" applyFill="1" applyBorder="1" applyAlignment="1" applyProtection="1">
      <alignment horizontal="center" vertical="center" wrapText="1"/>
      <protection locked="0"/>
    </xf>
    <xf numFmtId="4" fontId="5" fillId="2" borderId="11" xfId="0" applyNumberFormat="1" applyFont="1" applyFill="1" applyBorder="1" applyAlignment="1" applyProtection="1">
      <alignment horizontal="center" vertical="center" wrapText="1"/>
      <protection locked="0"/>
    </xf>
    <xf numFmtId="4" fontId="5" fillId="2" borderId="12" xfId="0" applyNumberFormat="1" applyFont="1" applyFill="1" applyBorder="1" applyAlignment="1" applyProtection="1">
      <alignment horizontal="center" vertical="center" wrapText="1"/>
      <protection locked="0"/>
    </xf>
    <xf numFmtId="4" fontId="5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14" fontId="7" fillId="0" borderId="0" xfId="0" applyNumberFormat="1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14" fontId="7" fillId="0" borderId="19" xfId="0" applyNumberFormat="1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7" xfId="3" applyFont="1" applyBorder="1" applyAlignment="1">
      <alignment vertical="center"/>
    </xf>
    <xf numFmtId="49" fontId="8" fillId="0" borderId="5" xfId="0" applyNumberFormat="1" applyFont="1" applyBorder="1"/>
    <xf numFmtId="0" fontId="3" fillId="0" borderId="7" xfId="0" applyFont="1" applyBorder="1" applyAlignment="1">
      <alignment horizontal="center"/>
    </xf>
    <xf numFmtId="0" fontId="10" fillId="0" borderId="18" xfId="2" applyFont="1" applyBorder="1" applyAlignment="1" applyProtection="1">
      <alignment horizontal="center" vertical="center"/>
      <protection locked="0"/>
    </xf>
    <xf numFmtId="0" fontId="10" fillId="0" borderId="19" xfId="2" applyFont="1" applyBorder="1" applyAlignment="1" applyProtection="1">
      <alignment vertical="center"/>
      <protection locked="0"/>
    </xf>
    <xf numFmtId="0" fontId="13" fillId="0" borderId="19" xfId="2" applyFont="1" applyBorder="1" applyAlignment="1" applyProtection="1">
      <alignment vertical="center"/>
      <protection locked="0"/>
    </xf>
    <xf numFmtId="0" fontId="10" fillId="0" borderId="19" xfId="2" applyFont="1" applyBorder="1" applyAlignment="1" applyProtection="1">
      <alignment horizontal="center" vertical="center"/>
      <protection locked="0"/>
    </xf>
    <xf numFmtId="4" fontId="10" fillId="0" borderId="19" xfId="2" applyNumberFormat="1" applyFont="1" applyBorder="1" applyAlignment="1" applyProtection="1">
      <alignment horizontal="center" vertical="center"/>
      <protection locked="0"/>
    </xf>
    <xf numFmtId="0" fontId="12" fillId="0" borderId="19" xfId="0" applyFont="1" applyBorder="1"/>
    <xf numFmtId="0" fontId="12" fillId="0" borderId="20" xfId="0" applyFont="1" applyBorder="1"/>
    <xf numFmtId="4" fontId="4" fillId="2" borderId="7" xfId="4" applyNumberFormat="1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4" fontId="4" fillId="2" borderId="10" xfId="0" applyNumberFormat="1" applyFont="1" applyFill="1" applyBorder="1" applyAlignment="1" applyProtection="1">
      <alignment horizontal="center" vertical="center" wrapText="1"/>
      <protection locked="0"/>
    </xf>
    <xf numFmtId="4" fontId="4" fillId="2" borderId="9" xfId="0" applyNumberFormat="1" applyFont="1" applyFill="1" applyBorder="1" applyAlignment="1" applyProtection="1">
      <alignment horizontal="center" vertical="center" wrapText="1"/>
      <protection locked="0"/>
    </xf>
    <xf numFmtId="49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3" fontId="12" fillId="0" borderId="0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3" fontId="12" fillId="0" borderId="2" xfId="1" applyFont="1" applyBorder="1" applyAlignment="1">
      <alignment vertical="center"/>
    </xf>
    <xf numFmtId="0" fontId="4" fillId="0" borderId="7" xfId="3" applyFont="1" applyBorder="1" applyAlignment="1">
      <alignment horizontal="center"/>
    </xf>
    <xf numFmtId="14" fontId="10" fillId="0" borderId="10" xfId="3" applyNumberFormat="1" applyFont="1" applyBorder="1" applyAlignment="1">
      <alignment horizontal="center"/>
    </xf>
    <xf numFmtId="17" fontId="10" fillId="0" borderId="10" xfId="3" applyNumberFormat="1" applyFont="1" applyBorder="1" applyAlignment="1">
      <alignment horizontal="left"/>
    </xf>
    <xf numFmtId="0" fontId="10" fillId="0" borderId="10" xfId="3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3" fillId="0" borderId="9" xfId="0" applyFont="1" applyBorder="1"/>
    <xf numFmtId="44" fontId="12" fillId="0" borderId="0" xfId="5" applyFont="1" applyBorder="1" applyAlignment="1">
      <alignment horizontal="center" vertical="center"/>
    </xf>
    <xf numFmtId="22" fontId="6" fillId="0" borderId="25" xfId="3" applyNumberFormat="1" applyFont="1" applyBorder="1" applyAlignment="1">
      <alignment horizontal="center" vertical="center"/>
    </xf>
    <xf numFmtId="44" fontId="3" fillId="0" borderId="5" xfId="0" applyNumberFormat="1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2" fontId="7" fillId="0" borderId="16" xfId="1" applyNumberFormat="1" applyFont="1" applyBorder="1" applyAlignment="1">
      <alignment horizontal="center" vertical="center"/>
    </xf>
    <xf numFmtId="2" fontId="7" fillId="0" borderId="0" xfId="1" applyNumberFormat="1" applyFont="1" applyBorder="1" applyAlignment="1">
      <alignment horizontal="center" vertical="center"/>
    </xf>
    <xf numFmtId="2" fontId="7" fillId="0" borderId="19" xfId="1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2" fontId="7" fillId="0" borderId="29" xfId="1" applyNumberFormat="1" applyFont="1" applyBorder="1" applyAlignment="1">
      <alignment horizontal="center" vertical="center"/>
    </xf>
    <xf numFmtId="22" fontId="6" fillId="0" borderId="10" xfId="3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8" fillId="0" borderId="4" xfId="0" applyNumberFormat="1" applyFont="1" applyBorder="1" applyAlignment="1">
      <alignment horizontal="right" vertical="center"/>
    </xf>
    <xf numFmtId="49" fontId="8" fillId="0" borderId="5" xfId="0" applyNumberFormat="1" applyFont="1" applyBorder="1" applyAlignment="1">
      <alignment horizontal="right" vertical="center"/>
    </xf>
    <xf numFmtId="0" fontId="9" fillId="0" borderId="15" xfId="2" applyFont="1" applyBorder="1" applyAlignment="1" applyProtection="1">
      <alignment horizontal="center" vertical="center"/>
      <protection locked="0"/>
    </xf>
    <xf numFmtId="0" fontId="9" fillId="0" borderId="16" xfId="2" applyFont="1" applyBorder="1" applyAlignment="1" applyProtection="1">
      <alignment horizontal="center" vertical="center"/>
      <protection locked="0"/>
    </xf>
    <xf numFmtId="0" fontId="9" fillId="0" borderId="17" xfId="2" applyFont="1" applyBorder="1" applyAlignment="1" applyProtection="1">
      <alignment horizontal="center" vertical="center"/>
      <protection locked="0"/>
    </xf>
    <xf numFmtId="49" fontId="8" fillId="0" borderId="7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0" fontId="9" fillId="0" borderId="7" xfId="2" applyFont="1" applyBorder="1" applyAlignment="1" applyProtection="1">
      <alignment horizontal="center" vertical="center"/>
      <protection locked="0"/>
    </xf>
    <xf numFmtId="0" fontId="9" fillId="0" borderId="10" xfId="2" applyFont="1" applyBorder="1" applyAlignment="1" applyProtection="1">
      <alignment horizontal="center" vertical="center"/>
      <protection locked="0"/>
    </xf>
    <xf numFmtId="0" fontId="9" fillId="0" borderId="9" xfId="2" applyFont="1" applyBorder="1" applyAlignment="1" applyProtection="1">
      <alignment horizontal="center" vertical="center"/>
      <protection locked="0"/>
    </xf>
    <xf numFmtId="22" fontId="6" fillId="0" borderId="18" xfId="2" applyNumberFormat="1" applyFont="1" applyBorder="1" applyAlignment="1" applyProtection="1">
      <alignment horizontal="center" vertical="center"/>
      <protection locked="0"/>
    </xf>
    <xf numFmtId="22" fontId="6" fillId="0" borderId="19" xfId="2" applyNumberFormat="1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49" fontId="7" fillId="0" borderId="19" xfId="0" applyNumberFormat="1" applyFont="1" applyBorder="1" applyAlignment="1">
      <alignment horizont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17" fontId="6" fillId="0" borderId="24" xfId="3" applyNumberFormat="1" applyFont="1" applyBorder="1" applyAlignment="1">
      <alignment horizontal="center" vertical="center"/>
    </xf>
    <xf numFmtId="17" fontId="6" fillId="0" borderId="10" xfId="3" applyNumberFormat="1" applyFont="1" applyBorder="1" applyAlignment="1">
      <alignment horizontal="center" vertical="center"/>
    </xf>
    <xf numFmtId="17" fontId="6" fillId="0" borderId="27" xfId="3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/>
    </xf>
    <xf numFmtId="2" fontId="7" fillId="0" borderId="15" xfId="1" applyNumberFormat="1" applyFont="1" applyBorder="1" applyAlignment="1">
      <alignment horizontal="center" vertical="center"/>
    </xf>
    <xf numFmtId="2" fontId="7" fillId="0" borderId="30" xfId="1" applyNumberFormat="1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2" fontId="7" fillId="0" borderId="3" xfId="1" applyNumberFormat="1" applyFont="1" applyBorder="1" applyAlignment="1">
      <alignment horizontal="center" vertical="center"/>
    </xf>
    <xf numFmtId="2" fontId="7" fillId="0" borderId="18" xfId="1" applyNumberFormat="1" applyFont="1" applyBorder="1" applyAlignment="1">
      <alignment horizontal="center" vertical="center"/>
    </xf>
    <xf numFmtId="2" fontId="7" fillId="0" borderId="31" xfId="1" applyNumberFormat="1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8" fillId="0" borderId="6" xfId="0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</cellXfs>
  <cellStyles count="6">
    <cellStyle name="Moeda" xfId="5" builtinId="4"/>
    <cellStyle name="Normal" xfId="0" builtinId="0"/>
    <cellStyle name="Normal_Modelo de planilha orçamento PJ Ceilândia" xfId="4" xr:uid="{57460FC3-C4C9-40EC-906D-39C0124238E3}"/>
    <cellStyle name="Normal_Orç 041_2009 Adaptação Copa PJ Ceilândia" xfId="2" xr:uid="{957AD1D9-26AE-4DC9-A7D9-042F76F0EB51}"/>
    <cellStyle name="Normal_Orç 041_2009 Adaptação Copa PJ Ceilândia_Orçamento Sintético" xfId="3" xr:uid="{BAE10561-19B2-4033-9AF1-EF7EA2B35E74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D85D-83F0-4D6C-8F59-A804CD0D0936}">
  <dimension ref="A1:J12"/>
  <sheetViews>
    <sheetView zoomScale="145" zoomScaleNormal="145" workbookViewId="0">
      <selection activeCell="I6" sqref="I6"/>
    </sheetView>
  </sheetViews>
  <sheetFormatPr defaultRowHeight="14.25" x14ac:dyDescent="0.2"/>
  <cols>
    <col min="1" max="1" width="10.140625" style="2" customWidth="1"/>
    <col min="2" max="2" width="18" style="1" bestFit="1" customWidth="1"/>
    <col min="3" max="3" width="53.5703125" style="1" bestFit="1" customWidth="1"/>
    <col min="4" max="4" width="18" style="2" bestFit="1" customWidth="1"/>
    <col min="5" max="5" width="9.7109375" style="2" customWidth="1"/>
    <col min="6" max="6" width="17.85546875" style="2" customWidth="1"/>
    <col min="7" max="9" width="19.140625" style="1" customWidth="1"/>
    <col min="10" max="10" width="22.5703125" style="1" customWidth="1"/>
    <col min="11" max="16384" width="9.140625" style="1"/>
  </cols>
  <sheetData>
    <row r="1" spans="1:10" ht="27.75" customHeight="1" thickBot="1" x14ac:dyDescent="0.25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ht="18" customHeight="1" thickBot="1" x14ac:dyDescent="0.25">
      <c r="A2" s="44" t="s">
        <v>1</v>
      </c>
      <c r="B2" s="45">
        <f ca="1">TODAY()</f>
        <v>46153</v>
      </c>
      <c r="C2" s="46" t="s">
        <v>42</v>
      </c>
      <c r="D2" s="47"/>
      <c r="E2" s="47"/>
      <c r="F2" s="48"/>
      <c r="G2" s="47" t="s">
        <v>13</v>
      </c>
      <c r="H2" s="47"/>
      <c r="I2" s="47"/>
      <c r="J2" s="49"/>
    </row>
    <row r="3" spans="1:10" ht="18" customHeight="1" thickBot="1" x14ac:dyDescent="0.25">
      <c r="A3" s="28"/>
      <c r="B3" s="29"/>
      <c r="C3" s="30"/>
      <c r="D3" s="31"/>
      <c r="E3" s="32"/>
      <c r="F3" s="32"/>
      <c r="G3" s="33"/>
      <c r="H3" s="33"/>
      <c r="I3" s="33"/>
      <c r="J3" s="34"/>
    </row>
    <row r="4" spans="1:10" ht="45.75" thickBot="1" x14ac:dyDescent="0.25">
      <c r="A4" s="35" t="s">
        <v>2</v>
      </c>
      <c r="B4" s="36" t="s">
        <v>3</v>
      </c>
      <c r="C4" s="36" t="s">
        <v>4</v>
      </c>
      <c r="D4" s="37" t="s">
        <v>26</v>
      </c>
      <c r="E4" s="37" t="s">
        <v>5</v>
      </c>
      <c r="F4" s="37" t="s">
        <v>6</v>
      </c>
      <c r="G4" s="37" t="s">
        <v>35</v>
      </c>
      <c r="H4" s="37" t="s">
        <v>44</v>
      </c>
      <c r="I4" s="37" t="s">
        <v>43</v>
      </c>
      <c r="J4" s="38" t="s">
        <v>56</v>
      </c>
    </row>
    <row r="5" spans="1:10" s="3" customFormat="1" ht="25.5" customHeight="1" x14ac:dyDescent="0.25">
      <c r="A5" s="39" t="s">
        <v>7</v>
      </c>
      <c r="B5" s="40" t="s">
        <v>14</v>
      </c>
      <c r="C5" s="40" t="s">
        <v>15</v>
      </c>
      <c r="D5" s="50">
        <v>1599</v>
      </c>
      <c r="E5" s="42">
        <v>2</v>
      </c>
      <c r="F5" s="41">
        <f>D5*E5</f>
        <v>3198</v>
      </c>
      <c r="G5" s="41">
        <f>F5*10%</f>
        <v>319.8</v>
      </c>
      <c r="H5" s="41">
        <f>F5-G5</f>
        <v>2878.2</v>
      </c>
      <c r="I5" s="41">
        <f>F5*1.1</f>
        <v>3517.8</v>
      </c>
      <c r="J5" s="43">
        <f>I5/6</f>
        <v>586.30000000000007</v>
      </c>
    </row>
    <row r="6" spans="1:10" s="3" customFormat="1" ht="25.5" customHeight="1" x14ac:dyDescent="0.25">
      <c r="A6" s="39" t="s">
        <v>8</v>
      </c>
      <c r="B6" s="40" t="s">
        <v>16</v>
      </c>
      <c r="C6" s="40" t="s">
        <v>17</v>
      </c>
      <c r="D6" s="50">
        <v>799</v>
      </c>
      <c r="E6" s="42">
        <v>1</v>
      </c>
      <c r="F6" s="41">
        <f t="shared" ref="F6:F10" si="0">D6*E6</f>
        <v>799</v>
      </c>
      <c r="G6" s="41">
        <f>F6*0.1</f>
        <v>79.900000000000006</v>
      </c>
      <c r="H6" s="41">
        <f t="shared" ref="H6:H10" si="1">F6-G6</f>
        <v>719.1</v>
      </c>
      <c r="I6" s="41">
        <f t="shared" ref="I6:I10" si="2">F6*1.1</f>
        <v>878.90000000000009</v>
      </c>
      <c r="J6" s="43">
        <f t="shared" ref="J6:J10" si="3">I6/6</f>
        <v>146.48333333333335</v>
      </c>
    </row>
    <row r="7" spans="1:10" s="3" customFormat="1" ht="25.5" customHeight="1" x14ac:dyDescent="0.25">
      <c r="A7" s="39" t="s">
        <v>9</v>
      </c>
      <c r="B7" s="40" t="s">
        <v>18</v>
      </c>
      <c r="C7" s="40" t="s">
        <v>19</v>
      </c>
      <c r="D7" s="50">
        <v>399.9</v>
      </c>
      <c r="E7" s="42">
        <v>3</v>
      </c>
      <c r="F7" s="41">
        <f t="shared" si="0"/>
        <v>1199.6999999999998</v>
      </c>
      <c r="G7" s="41">
        <f t="shared" ref="G7:G10" si="4">F7*0.1</f>
        <v>119.96999999999998</v>
      </c>
      <c r="H7" s="41">
        <f t="shared" si="1"/>
        <v>1079.7299999999998</v>
      </c>
      <c r="I7" s="41">
        <f t="shared" si="2"/>
        <v>1319.6699999999998</v>
      </c>
      <c r="J7" s="43">
        <f t="shared" si="3"/>
        <v>219.94499999999996</v>
      </c>
    </row>
    <row r="8" spans="1:10" s="3" customFormat="1" ht="25.5" customHeight="1" x14ac:dyDescent="0.25">
      <c r="A8" s="39" t="s">
        <v>10</v>
      </c>
      <c r="B8" s="40" t="s">
        <v>20</v>
      </c>
      <c r="C8" s="40" t="s">
        <v>21</v>
      </c>
      <c r="D8" s="50">
        <v>1499</v>
      </c>
      <c r="E8" s="42">
        <v>2</v>
      </c>
      <c r="F8" s="41">
        <f t="shared" si="0"/>
        <v>2998</v>
      </c>
      <c r="G8" s="41">
        <f t="shared" si="4"/>
        <v>299.8</v>
      </c>
      <c r="H8" s="41">
        <f t="shared" si="1"/>
        <v>2698.2</v>
      </c>
      <c r="I8" s="41">
        <f t="shared" si="2"/>
        <v>3297.8</v>
      </c>
      <c r="J8" s="43">
        <f t="shared" si="3"/>
        <v>549.63333333333333</v>
      </c>
    </row>
    <row r="9" spans="1:10" s="3" customFormat="1" ht="25.5" customHeight="1" x14ac:dyDescent="0.25">
      <c r="A9" s="39" t="s">
        <v>11</v>
      </c>
      <c r="B9" s="40" t="s">
        <v>23</v>
      </c>
      <c r="C9" s="40" t="s">
        <v>22</v>
      </c>
      <c r="D9" s="50">
        <v>238</v>
      </c>
      <c r="E9" s="42">
        <v>2</v>
      </c>
      <c r="F9" s="41">
        <f t="shared" si="0"/>
        <v>476</v>
      </c>
      <c r="G9" s="41">
        <f t="shared" si="4"/>
        <v>47.6</v>
      </c>
      <c r="H9" s="41">
        <f t="shared" si="1"/>
        <v>428.4</v>
      </c>
      <c r="I9" s="41">
        <f t="shared" si="2"/>
        <v>523.6</v>
      </c>
      <c r="J9" s="43">
        <f t="shared" si="3"/>
        <v>87.266666666666666</v>
      </c>
    </row>
    <row r="10" spans="1:10" s="3" customFormat="1" ht="25.5" customHeight="1" x14ac:dyDescent="0.25">
      <c r="A10" s="39" t="s">
        <v>12</v>
      </c>
      <c r="B10" s="40" t="s">
        <v>25</v>
      </c>
      <c r="C10" s="40" t="s">
        <v>24</v>
      </c>
      <c r="D10" s="50">
        <v>529.9</v>
      </c>
      <c r="E10" s="42">
        <v>1</v>
      </c>
      <c r="F10" s="41">
        <f t="shared" si="0"/>
        <v>529.9</v>
      </c>
      <c r="G10" s="41">
        <f t="shared" si="4"/>
        <v>52.99</v>
      </c>
      <c r="H10" s="41">
        <f t="shared" si="1"/>
        <v>476.90999999999997</v>
      </c>
      <c r="I10" s="41">
        <f t="shared" si="2"/>
        <v>582.89</v>
      </c>
      <c r="J10" s="43">
        <f t="shared" si="3"/>
        <v>97.148333333333326</v>
      </c>
    </row>
    <row r="11" spans="1:10" ht="10.5" customHeight="1" thickBot="1" x14ac:dyDescent="0.25">
      <c r="A11" s="62"/>
      <c r="B11" s="63"/>
      <c r="C11" s="63"/>
      <c r="D11" s="63"/>
      <c r="E11" s="63"/>
      <c r="F11" s="63"/>
      <c r="J11" s="5"/>
    </row>
    <row r="12" spans="1:10" ht="24.75" customHeight="1" thickBot="1" x14ac:dyDescent="0.25">
      <c r="A12" s="64" t="s">
        <v>27</v>
      </c>
      <c r="B12" s="65"/>
      <c r="C12" s="65"/>
      <c r="D12" s="52"/>
      <c r="E12" s="4"/>
      <c r="F12" s="4"/>
      <c r="G12" s="7"/>
      <c r="H12" s="7"/>
      <c r="I12" s="7"/>
      <c r="J12" s="6"/>
    </row>
  </sheetData>
  <mergeCells count="3">
    <mergeCell ref="A11:F11"/>
    <mergeCell ref="A12:C12"/>
    <mergeCell ref="A1:J1"/>
  </mergeCells>
  <pageMargins left="0.511811024" right="0.511811024" top="0.78740157499999996" bottom="0.78740157499999996" header="0.31496062000000002" footer="0.31496062000000002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087D-03B1-4597-B797-0EAF5A3BD769}">
  <dimension ref="A1:J11"/>
  <sheetViews>
    <sheetView tabSelected="1" topLeftCell="B2" zoomScale="115" zoomScaleNormal="115" workbookViewId="0">
      <selection activeCell="A10" sqref="A10:J10"/>
    </sheetView>
  </sheetViews>
  <sheetFormatPr defaultRowHeight="14.25" x14ac:dyDescent="0.2"/>
  <cols>
    <col min="1" max="1" width="20.85546875" style="2" customWidth="1"/>
    <col min="2" max="2" width="45.42578125" style="1" bestFit="1" customWidth="1"/>
    <col min="3" max="4" width="16.7109375" style="1" customWidth="1"/>
    <col min="5" max="8" width="12.7109375" style="2" customWidth="1"/>
    <col min="9" max="9" width="20.28515625" style="2" customWidth="1"/>
    <col min="10" max="10" width="22" style="1" customWidth="1"/>
    <col min="11" max="16384" width="9.140625" style="1"/>
  </cols>
  <sheetData>
    <row r="1" spans="1:10" ht="27.75" customHeight="1" thickBot="1" x14ac:dyDescent="0.25">
      <c r="A1" s="72" t="s">
        <v>28</v>
      </c>
      <c r="B1" s="73"/>
      <c r="C1" s="73"/>
      <c r="D1" s="73"/>
      <c r="E1" s="73"/>
      <c r="F1" s="73"/>
      <c r="G1" s="73"/>
      <c r="H1" s="73"/>
      <c r="I1" s="73"/>
      <c r="J1" s="74"/>
    </row>
    <row r="2" spans="1:10" s="3" customFormat="1" ht="24.75" customHeight="1" thickBot="1" x14ac:dyDescent="0.3">
      <c r="A2" s="24" t="s">
        <v>1</v>
      </c>
      <c r="B2" s="51"/>
      <c r="C2" s="82" t="s">
        <v>45</v>
      </c>
      <c r="D2" s="83"/>
      <c r="E2" s="84"/>
      <c r="F2" s="80" t="s">
        <v>59</v>
      </c>
      <c r="G2" s="81"/>
      <c r="H2" s="25" t="s">
        <v>38</v>
      </c>
      <c r="I2" s="61" t="s">
        <v>58</v>
      </c>
      <c r="J2" s="53">
        <v>6</v>
      </c>
    </row>
    <row r="3" spans="1:10" ht="18" customHeight="1" thickBot="1" x14ac:dyDescent="0.25">
      <c r="A3" s="75" t="s">
        <v>57</v>
      </c>
      <c r="B3" s="76"/>
      <c r="C3" s="76"/>
      <c r="D3" s="76"/>
      <c r="E3" s="76"/>
      <c r="F3" s="76"/>
      <c r="G3" s="76"/>
      <c r="H3" s="76"/>
      <c r="I3" s="76"/>
      <c r="J3" s="76"/>
    </row>
    <row r="4" spans="1:10" ht="54.75" thickBot="1" x14ac:dyDescent="0.25">
      <c r="A4" s="8" t="s">
        <v>29</v>
      </c>
      <c r="B4" s="9" t="s">
        <v>30</v>
      </c>
      <c r="C4" s="10" t="s">
        <v>39</v>
      </c>
      <c r="D4" s="9" t="s">
        <v>40</v>
      </c>
      <c r="E4" s="11" t="s">
        <v>31</v>
      </c>
      <c r="F4" s="12" t="s">
        <v>32</v>
      </c>
      <c r="G4" s="13" t="s">
        <v>33</v>
      </c>
      <c r="H4" s="13" t="s">
        <v>34</v>
      </c>
      <c r="I4" s="14" t="s">
        <v>36</v>
      </c>
      <c r="J4" s="14" t="s">
        <v>37</v>
      </c>
    </row>
    <row r="5" spans="1:10" s="3" customFormat="1" ht="25.5" customHeight="1" x14ac:dyDescent="0.25">
      <c r="A5" s="15" t="s">
        <v>50</v>
      </c>
      <c r="B5" s="16" t="s">
        <v>46</v>
      </c>
      <c r="C5" s="17">
        <v>38903</v>
      </c>
      <c r="D5" s="57">
        <f ca="1">YEAR(TODAY())-YEAR(C5)</f>
        <v>20</v>
      </c>
      <c r="E5" s="86">
        <v>5</v>
      </c>
      <c r="F5" s="54">
        <v>4</v>
      </c>
      <c r="G5" s="54">
        <v>3.5</v>
      </c>
      <c r="H5" s="54">
        <v>6</v>
      </c>
      <c r="I5" s="87">
        <f>AVERAGE(E5:H5)</f>
        <v>4.625</v>
      </c>
      <c r="J5" s="88" t="str">
        <f>IF(I5&gt;=$J$2,"Aprovado","Reprovado")</f>
        <v>Reprovado</v>
      </c>
    </row>
    <row r="6" spans="1:10" s="3" customFormat="1" ht="25.5" customHeight="1" x14ac:dyDescent="0.25">
      <c r="A6" s="18" t="s">
        <v>51</v>
      </c>
      <c r="B6" s="19" t="s">
        <v>47</v>
      </c>
      <c r="C6" s="20">
        <v>31677</v>
      </c>
      <c r="D6" s="58">
        <f ca="1">DATEDIF(C6,TODAY(),"Y")</f>
        <v>39</v>
      </c>
      <c r="E6" s="89">
        <v>5</v>
      </c>
      <c r="F6" s="55">
        <v>7.25</v>
      </c>
      <c r="G6" s="55">
        <v>4</v>
      </c>
      <c r="H6" s="55">
        <v>3.75</v>
      </c>
      <c r="I6" s="60">
        <f t="shared" ref="I6:I9" si="0">AVERAGE(E6:H6)</f>
        <v>5</v>
      </c>
      <c r="J6" s="59" t="str">
        <f t="shared" ref="J6:J11" si="1">IF(I6&gt;=$J$2,"Aprovado","Reprovado")</f>
        <v>Reprovado</v>
      </c>
    </row>
    <row r="7" spans="1:10" s="3" customFormat="1" ht="25.5" customHeight="1" x14ac:dyDescent="0.25">
      <c r="A7" s="18" t="s">
        <v>52</v>
      </c>
      <c r="B7" s="19" t="s">
        <v>48</v>
      </c>
      <c r="C7" s="20">
        <v>38644</v>
      </c>
      <c r="D7" s="58">
        <f t="shared" ref="D7:D9" ca="1" si="2">DATEDIF(C7,TODAY(),"Y")</f>
        <v>20</v>
      </c>
      <c r="E7" s="89">
        <v>6</v>
      </c>
      <c r="F7" s="55">
        <v>6</v>
      </c>
      <c r="G7" s="55">
        <v>4.5549999999999997</v>
      </c>
      <c r="H7" s="55">
        <v>4</v>
      </c>
      <c r="I7" s="60">
        <f t="shared" si="0"/>
        <v>5.1387499999999999</v>
      </c>
      <c r="J7" s="59" t="str">
        <f t="shared" si="1"/>
        <v>Reprovado</v>
      </c>
    </row>
    <row r="8" spans="1:10" s="3" customFormat="1" ht="25.5" customHeight="1" x14ac:dyDescent="0.25">
      <c r="A8" s="18" t="s">
        <v>53</v>
      </c>
      <c r="B8" s="19" t="s">
        <v>55</v>
      </c>
      <c r="C8" s="20">
        <v>36427</v>
      </c>
      <c r="D8" s="58">
        <f t="shared" ca="1" si="2"/>
        <v>26</v>
      </c>
      <c r="E8" s="89">
        <v>4.25</v>
      </c>
      <c r="F8" s="55">
        <v>7</v>
      </c>
      <c r="G8" s="55">
        <v>5</v>
      </c>
      <c r="H8" s="55">
        <v>8</v>
      </c>
      <c r="I8" s="60">
        <f t="shared" si="0"/>
        <v>6.0625</v>
      </c>
      <c r="J8" s="59" t="str">
        <f t="shared" si="1"/>
        <v>Aprovado</v>
      </c>
    </row>
    <row r="9" spans="1:10" s="3" customFormat="1" ht="25.5" customHeight="1" thickBot="1" x14ac:dyDescent="0.3">
      <c r="A9" s="21" t="s">
        <v>54</v>
      </c>
      <c r="B9" s="22" t="s">
        <v>49</v>
      </c>
      <c r="C9" s="23">
        <v>34312</v>
      </c>
      <c r="D9" s="58">
        <f t="shared" ca="1" si="2"/>
        <v>32</v>
      </c>
      <c r="E9" s="90">
        <v>6.25</v>
      </c>
      <c r="F9" s="56">
        <v>8</v>
      </c>
      <c r="G9" s="56">
        <v>5.5</v>
      </c>
      <c r="H9" s="56">
        <v>6.25</v>
      </c>
      <c r="I9" s="91">
        <f t="shared" si="0"/>
        <v>6.5</v>
      </c>
      <c r="J9" s="92" t="str">
        <f t="shared" si="1"/>
        <v>Aprovado</v>
      </c>
    </row>
    <row r="10" spans="1:10" ht="10.5" customHeight="1" thickBot="1" x14ac:dyDescent="0.3">
      <c r="A10" s="77"/>
      <c r="B10" s="78"/>
      <c r="C10" s="78"/>
      <c r="D10" s="78"/>
      <c r="E10" s="79"/>
      <c r="F10" s="79"/>
      <c r="G10" s="79"/>
      <c r="H10" s="79"/>
      <c r="I10" s="79"/>
      <c r="J10" s="85"/>
    </row>
    <row r="11" spans="1:10" ht="25.5" customHeight="1" thickBot="1" x14ac:dyDescent="0.3">
      <c r="A11" s="27"/>
      <c r="B11" s="26"/>
      <c r="C11" s="94" t="s">
        <v>60</v>
      </c>
      <c r="D11" s="93">
        <f ca="1">AVERAGE(D5:D9)</f>
        <v>27.4</v>
      </c>
      <c r="E11" s="69" t="s">
        <v>41</v>
      </c>
      <c r="F11" s="70"/>
      <c r="G11" s="70"/>
      <c r="H11" s="71"/>
      <c r="I11" s="95">
        <f>AVERAGE(I5:I9)</f>
        <v>5.4652500000000002</v>
      </c>
      <c r="J11" s="92" t="str">
        <f t="shared" si="1"/>
        <v>Reprovado</v>
      </c>
    </row>
  </sheetData>
  <mergeCells count="6">
    <mergeCell ref="E11:H11"/>
    <mergeCell ref="A1:J1"/>
    <mergeCell ref="A3:J3"/>
    <mergeCell ref="A10:J10"/>
    <mergeCell ref="F2:G2"/>
    <mergeCell ref="C2:E2"/>
  </mergeCells>
  <pageMargins left="0.511811024" right="0.511811024" top="0.78740157499999996" bottom="0.78740157499999996" header="0.31496062000000002" footer="0.31496062000000002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Orçamento</vt:lpstr>
      <vt:lpstr>Boletim</vt:lpstr>
      <vt:lpstr>Boletim!Area_de_impressao</vt:lpstr>
      <vt:lpstr>Orçamento!Area_de_impressao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</dc:creator>
  <cp:lastModifiedBy>Wagner Cesar Vieira</cp:lastModifiedBy>
  <cp:lastPrinted>2020-03-10T23:27:28Z</cp:lastPrinted>
  <dcterms:created xsi:type="dcterms:W3CDTF">2020-03-10T23:21:32Z</dcterms:created>
  <dcterms:modified xsi:type="dcterms:W3CDTF">2026-05-11T22:26:20Z</dcterms:modified>
</cp:coreProperties>
</file>