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las\4. Projetos TIC - Química\ptic_quimica\Exercícios\"/>
    </mc:Choice>
  </mc:AlternateContent>
  <xr:revisionPtr revIDLastSave="0" documentId="8_{571E00B9-72AB-47B2-A283-029B987EF23E}" xr6:coauthVersionLast="47" xr6:coauthVersionMax="47" xr10:uidLastSave="{00000000-0000-0000-0000-000000000000}"/>
  <bookViews>
    <workbookView xWindow="-120" yWindow="-120" windowWidth="20730" windowHeight="11040" xr2:uid="{9215DF5D-1876-4B09-AE63-57FB0E85D20A}"/>
  </bookViews>
  <sheets>
    <sheet name="Introdução" sheetId="2" r:id="rId1"/>
    <sheet name="Desafio" sheetId="3" r:id="rId2"/>
    <sheet name="Tabela_periódica" sheetId="1" r:id="rId3"/>
  </sheets>
  <definedNames>
    <definedName name="_xlnm._FilterDatabase" localSheetId="1" hidden="1">Desafio!$B$3:$K$3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19" i="3"/>
  <c r="K18" i="3"/>
  <c r="K17" i="3"/>
  <c r="K16" i="3"/>
  <c r="K15" i="3"/>
  <c r="E21" i="3"/>
  <c r="E20" i="3"/>
  <c r="E19" i="3"/>
  <c r="J10" i="3"/>
  <c r="J8" i="3"/>
  <c r="J4" i="3"/>
  <c r="J6" i="3"/>
  <c r="J11" i="3"/>
  <c r="J5" i="3"/>
  <c r="J7" i="3"/>
  <c r="J9" i="3"/>
  <c r="J12" i="3"/>
  <c r="I10" i="3"/>
  <c r="I8" i="3"/>
  <c r="I4" i="3"/>
  <c r="I6" i="3"/>
  <c r="I11" i="3"/>
  <c r="I5" i="3"/>
  <c r="I7" i="3"/>
  <c r="I9" i="3"/>
  <c r="I12" i="3"/>
  <c r="E10" i="3"/>
  <c r="F10" i="3"/>
  <c r="G10" i="3"/>
  <c r="E8" i="3"/>
  <c r="F8" i="3"/>
  <c r="G8" i="3"/>
  <c r="E4" i="3"/>
  <c r="F4" i="3"/>
  <c r="G4" i="3"/>
  <c r="E6" i="3"/>
  <c r="F6" i="3"/>
  <c r="G6" i="3"/>
  <c r="E11" i="3"/>
  <c r="F11" i="3"/>
  <c r="G11" i="3"/>
  <c r="E5" i="3"/>
  <c r="F5" i="3"/>
  <c r="G5" i="3"/>
  <c r="E7" i="3"/>
  <c r="F7" i="3"/>
  <c r="G7" i="3"/>
  <c r="E9" i="3"/>
  <c r="F9" i="3"/>
  <c r="G9" i="3"/>
  <c r="G12" i="3"/>
  <c r="F12" i="3"/>
  <c r="E12" i="3"/>
  <c r="K7" i="3" l="1"/>
  <c r="K8" i="3"/>
  <c r="K5" i="3"/>
  <c r="K11" i="3"/>
  <c r="K4" i="3"/>
  <c r="K6" i="3"/>
  <c r="K12" i="3"/>
  <c r="K10" i="3"/>
  <c r="K9" i="3"/>
  <c r="E16" i="3"/>
  <c r="E17" i="3"/>
  <c r="E15" i="3"/>
</calcChain>
</file>

<file path=xl/sharedStrings.xml><?xml version="1.0" encoding="utf-8"?>
<sst xmlns="http://schemas.openxmlformats.org/spreadsheetml/2006/main" count="103" uniqueCount="91">
  <si>
    <t>Operadores de cálculo e ordem de execução</t>
  </si>
  <si>
    <t>Operador aritmético</t>
  </si>
  <si>
    <t>Significado</t>
  </si>
  <si>
    <t>Exemplo</t>
  </si>
  <si>
    <t>+ (sinal de adição)</t>
  </si>
  <si>
    <t>Adição</t>
  </si>
  <si>
    <t>- (sinal de subtração)</t>
  </si>
  <si>
    <t>Subtração</t>
  </si>
  <si>
    <t>* (asterisco)</t>
  </si>
  <si>
    <t>Multiplicação</t>
  </si>
  <si>
    <t>/ (barra)</t>
  </si>
  <si>
    <t>Divisão</t>
  </si>
  <si>
    <t>% (símbolo de percentagem)</t>
  </si>
  <si>
    <t>Percentagem</t>
  </si>
  <si>
    <t>^ (acento circunflexo)</t>
  </si>
  <si>
    <t>Exponenciação</t>
  </si>
  <si>
    <t>Operador de comparação</t>
  </si>
  <si>
    <t>Igual a</t>
  </si>
  <si>
    <t>Maior que</t>
  </si>
  <si>
    <t>Menor que</t>
  </si>
  <si>
    <t>Maior ou igual a</t>
  </si>
  <si>
    <t>Menor ou igual a</t>
  </si>
  <si>
    <t>Diferente de</t>
  </si>
  <si>
    <t>Operadores de referência</t>
  </si>
  <si>
    <t>: (dois pontos)</t>
  </si>
  <si>
    <t>; (ponto e vírgula)</t>
  </si>
  <si>
    <t>(espaço)</t>
  </si>
  <si>
    <t>Operador de interseção, que produz no referência a células comuns às duas referências.</t>
  </si>
  <si>
    <t>Funcionários</t>
  </si>
  <si>
    <t>Nome</t>
  </si>
  <si>
    <t>Total</t>
  </si>
  <si>
    <t xml:space="preserve"> =SOMA(intervalos)</t>
  </si>
  <si>
    <t xml:space="preserve"> =MÉDIA(intervalos)</t>
  </si>
  <si>
    <t xml:space="preserve"> =MÁXIMO(intervalos)</t>
  </si>
  <si>
    <t xml:space="preserve"> =MÍNIMO(intervalos)</t>
  </si>
  <si>
    <t>=A2+B2</t>
  </si>
  <si>
    <t>=A2-B2</t>
  </si>
  <si>
    <t>=A2*B2</t>
  </si>
  <si>
    <t>=A2/B2</t>
  </si>
  <si>
    <t>=A2*0,5</t>
  </si>
  <si>
    <t>=A2^B2</t>
  </si>
  <si>
    <t>=  (sinal de igual)</t>
  </si>
  <si>
    <t>&gt;  (sinal de maior)</t>
  </si>
  <si>
    <t>&lt;  (sinal de menor)</t>
  </si>
  <si>
    <t>&gt;=  (sinal de maior ou igual)</t>
  </si>
  <si>
    <t>&lt;=  (sinal de menor ou igual)</t>
  </si>
  <si>
    <t>&lt;&gt;  (sinal de diferente)</t>
  </si>
  <si>
    <t>Operador de União que combina várias referências numa só. Sentido de "e"</t>
  </si>
  <si>
    <t>Operador de intervalo, que produz uma referência a todas as células entre duas referências, incluindo as duas referências. Sentido de "até"</t>
  </si>
  <si>
    <t>=E2=F2</t>
  </si>
  <si>
    <t>=E2&gt;F2</t>
  </si>
  <si>
    <t>=E2&lt;F2</t>
  </si>
  <si>
    <t>=E2&gt;=F2</t>
  </si>
  <si>
    <t>=E2&lt;=F2</t>
  </si>
  <si>
    <t>=E2&lt;&gt;F2</t>
  </si>
  <si>
    <t>=A2:G2</t>
  </si>
  <si>
    <t>=SOMA(A2;B2;E2;F2;)</t>
  </si>
  <si>
    <t>=A2:B2 E2:F2)</t>
  </si>
  <si>
    <t>Idade</t>
  </si>
  <si>
    <t>Salário</t>
  </si>
  <si>
    <t>Breno Guilherme Teixeira</t>
  </si>
  <si>
    <t>Andrea Sophie Rosa Gomes</t>
  </si>
  <si>
    <t>Juliano Bento Cardoso</t>
  </si>
  <si>
    <t>Bárbara Sophia Helena Moreira</t>
  </si>
  <si>
    <t>Data de nascimento</t>
  </si>
  <si>
    <t>Descontos</t>
  </si>
  <si>
    <t>Brinde</t>
  </si>
  <si>
    <t>Sexo</t>
  </si>
  <si>
    <t>Masculino</t>
  </si>
  <si>
    <t>Feminino</t>
  </si>
  <si>
    <t>Alexandre Nelson Igor Barros</t>
  </si>
  <si>
    <t>Agatha Beatriz Aurora Brito</t>
  </si>
  <si>
    <t>Yasmin Milena Lopes</t>
  </si>
  <si>
    <t>Tereza Rita Fogaça</t>
  </si>
  <si>
    <t>Média de idade</t>
  </si>
  <si>
    <t>Anos</t>
  </si>
  <si>
    <t>Dias</t>
  </si>
  <si>
    <t>Meses</t>
  </si>
  <si>
    <t>Total Feminino</t>
  </si>
  <si>
    <t>Total Masculino</t>
  </si>
  <si>
    <t>% Masculino</t>
  </si>
  <si>
    <t>% Feminino</t>
  </si>
  <si>
    <t>Salário final</t>
  </si>
  <si>
    <t>Média de salários</t>
  </si>
  <si>
    <t>Wagner Cesar Vieira</t>
  </si>
  <si>
    <t>Idade máxima</t>
  </si>
  <si>
    <t>Idade mínima</t>
  </si>
  <si>
    <t>2º Maior salário</t>
  </si>
  <si>
    <t>3º Menor salário</t>
  </si>
  <si>
    <t xml:space="preserve"> =MAIOR(intervalos;critério)</t>
  </si>
  <si>
    <t xml:space="preserve"> =MENOR(intervalos;critério)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</si>
</sst>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9" tint="-0.249977111117893"/>
      <name val="Arial"/>
      <family val="2"/>
    </font>
    <font>
      <sz val="14"/>
      <color theme="1"/>
      <name val="Arial"/>
      <family val="2"/>
    </font>
    <font>
      <b/>
      <sz val="12"/>
      <color theme="3" tint="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86">
    <xf numFmtId="0" fontId="0" fillId="0" borderId="0" xfId="0"/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 wrapText="1"/>
    </xf>
    <xf numFmtId="49" fontId="3" fillId="0" borderId="11" xfId="0" applyNumberFormat="1" applyFont="1" applyBorder="1" applyAlignment="1">
      <alignment horizontal="left" vertical="center" wrapText="1"/>
    </xf>
    <xf numFmtId="0" fontId="0" fillId="0" borderId="3" xfId="0" applyBorder="1"/>
    <xf numFmtId="0" fontId="0" fillId="0" borderId="10" xfId="0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2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 wrapText="1"/>
    </xf>
    <xf numFmtId="49" fontId="4" fillId="3" borderId="5" xfId="0" applyNumberFormat="1" applyFont="1" applyFill="1" applyBorder="1" applyAlignment="1">
      <alignment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0" fontId="0" fillId="3" borderId="5" xfId="0" applyFill="1" applyBorder="1"/>
    <xf numFmtId="49" fontId="13" fillId="0" borderId="8" xfId="0" applyNumberFormat="1" applyFont="1" applyBorder="1" applyAlignment="1">
      <alignment horizontal="left" vertical="center" wrapText="1"/>
    </xf>
    <xf numFmtId="49" fontId="13" fillId="0" borderId="11" xfId="0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4" fontId="3" fillId="0" borderId="3" xfId="2" applyFont="1" applyFill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3" xfId="4" applyFont="1" applyFill="1" applyBorder="1" applyAlignment="1">
      <alignment horizontal="left" vertical="center"/>
    </xf>
    <xf numFmtId="14" fontId="10" fillId="3" borderId="3" xfId="0" applyNumberFormat="1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44" fontId="4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0" fillId="3" borderId="3" xfId="4" applyFont="1" applyFill="1" applyBorder="1" applyAlignment="1">
      <alignment horizontal="center" vertical="center"/>
    </xf>
    <xf numFmtId="44" fontId="14" fillId="3" borderId="3" xfId="2" applyFont="1" applyFill="1" applyBorder="1" applyAlignment="1">
      <alignment horizontal="center" vertical="center"/>
    </xf>
    <xf numFmtId="44" fontId="14" fillId="4" borderId="3" xfId="2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44" fontId="4" fillId="0" borderId="3" xfId="2" applyFont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0" fontId="10" fillId="3" borderId="12" xfId="3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9" fontId="11" fillId="3" borderId="1" xfId="3" applyFont="1" applyFill="1" applyBorder="1" applyAlignment="1">
      <alignment horizontal="center" vertical="center"/>
    </xf>
    <xf numFmtId="9" fontId="11" fillId="3" borderId="13" xfId="3" applyFont="1" applyFill="1" applyBorder="1" applyAlignment="1">
      <alignment horizontal="center" vertical="center"/>
    </xf>
    <xf numFmtId="9" fontId="11" fillId="3" borderId="2" xfId="3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3" borderId="5" xfId="0" applyNumberFormat="1" applyFont="1" applyFill="1" applyBorder="1" applyAlignment="1">
      <alignment horizontal="center" vertical="center" wrapText="1"/>
    </xf>
    <xf numFmtId="14" fontId="10" fillId="3" borderId="0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4" fontId="10" fillId="0" borderId="3" xfId="3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44" fontId="10" fillId="2" borderId="6" xfId="2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4" fontId="10" fillId="2" borderId="8" xfId="2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44" fontId="10" fillId="2" borderId="11" xfId="0" applyNumberFormat="1" applyFont="1" applyFill="1" applyBorder="1" applyAlignment="1">
      <alignment vertical="center"/>
    </xf>
    <xf numFmtId="0" fontId="10" fillId="3" borderId="3" xfId="1" applyNumberFormat="1" applyFont="1" applyFill="1" applyBorder="1" applyAlignment="1">
      <alignment horizontal="center" vertical="center"/>
    </xf>
    <xf numFmtId="10" fontId="10" fillId="3" borderId="3" xfId="3" applyNumberFormat="1" applyFont="1" applyFill="1" applyBorder="1" applyAlignment="1">
      <alignment horizontal="center" vertical="center"/>
    </xf>
    <xf numFmtId="10" fontId="10" fillId="3" borderId="3" xfId="1" applyNumberFormat="1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2" xfId="4" xr:uid="{966DE8BF-6CA1-4657-B902-CB257EF5DF9B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15</xdr:row>
      <xdr:rowOff>47625</xdr:rowOff>
    </xdr:from>
    <xdr:to>
      <xdr:col>4</xdr:col>
      <xdr:colOff>610298</xdr:colOff>
      <xdr:row>24</xdr:row>
      <xdr:rowOff>500122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391150"/>
          <a:ext cx="6944423" cy="2862322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</xdr:pic>
    <xdr:clientData/>
  </xdr:twoCellAnchor>
  <xdr:twoCellAnchor editAs="oneCell">
    <xdr:from>
      <xdr:col>4</xdr:col>
      <xdr:colOff>676275</xdr:colOff>
      <xdr:row>15</xdr:row>
      <xdr:rowOff>28576</xdr:rowOff>
    </xdr:from>
    <xdr:to>
      <xdr:col>8</xdr:col>
      <xdr:colOff>104775</xdr:colOff>
      <xdr:row>24</xdr:row>
      <xdr:rowOff>509731</xdr:rowOff>
    </xdr:to>
    <xdr:pic>
      <xdr:nvPicPr>
        <xdr:cNvPr id="3" name="Picture 2" descr="Resultado de imagem para cursores do exce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5372101"/>
          <a:ext cx="5981700" cy="28909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9</xdr:row>
          <xdr:rowOff>285750</xdr:rowOff>
        </xdr:from>
        <xdr:to>
          <xdr:col>6</xdr:col>
          <xdr:colOff>695325</xdr:colOff>
          <xdr:row>13</xdr:row>
          <xdr:rowOff>457200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563537</xdr:colOff>
      <xdr:row>46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55537" cy="883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Worksheet.xls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84A2-B868-438D-A733-C43FA646D8DA}">
  <dimension ref="A1:G26"/>
  <sheetViews>
    <sheetView showGridLines="0" tabSelected="1" workbookViewId="0">
      <selection activeCell="B7" sqref="B7"/>
    </sheetView>
  </sheetViews>
  <sheetFormatPr defaultRowHeight="15" x14ac:dyDescent="0.25"/>
  <cols>
    <col min="1" max="3" width="30.42578125" customWidth="1"/>
    <col min="4" max="4" width="4.42578125" customWidth="1"/>
    <col min="5" max="7" width="29.7109375" customWidth="1"/>
  </cols>
  <sheetData>
    <row r="1" spans="1:7" ht="25.5" customHeight="1" x14ac:dyDescent="0.25">
      <c r="A1" s="61" t="s">
        <v>0</v>
      </c>
      <c r="B1" s="61"/>
      <c r="C1" s="61"/>
      <c r="D1" s="61"/>
      <c r="E1" s="61"/>
      <c r="F1" s="61"/>
      <c r="G1" s="61"/>
    </row>
    <row r="2" spans="1:7" ht="15.75" customHeight="1" thickBot="1" x14ac:dyDescent="0.3">
      <c r="A2" s="62"/>
      <c r="B2" s="62"/>
      <c r="C2" s="62"/>
      <c r="D2" s="4"/>
      <c r="E2" s="63"/>
      <c r="F2" s="63"/>
      <c r="G2" s="63"/>
    </row>
    <row r="3" spans="1:7" ht="23.25" customHeight="1" x14ac:dyDescent="0.25">
      <c r="A3" s="20" t="s">
        <v>1</v>
      </c>
      <c r="B3" s="21" t="s">
        <v>2</v>
      </c>
      <c r="C3" s="22" t="s">
        <v>3</v>
      </c>
      <c r="D3" s="4"/>
      <c r="E3" s="23" t="s">
        <v>16</v>
      </c>
      <c r="F3" s="24" t="s">
        <v>2</v>
      </c>
      <c r="G3" s="25" t="s">
        <v>3</v>
      </c>
    </row>
    <row r="4" spans="1:7" ht="23.25" customHeight="1" x14ac:dyDescent="0.25">
      <c r="A4" s="6" t="s">
        <v>4</v>
      </c>
      <c r="B4" s="5" t="s">
        <v>5</v>
      </c>
      <c r="C4" s="27" t="s">
        <v>35</v>
      </c>
      <c r="D4" s="4"/>
      <c r="E4" s="6" t="s">
        <v>41</v>
      </c>
      <c r="F4" s="5" t="s">
        <v>17</v>
      </c>
      <c r="G4" s="27" t="s">
        <v>49</v>
      </c>
    </row>
    <row r="5" spans="1:7" ht="23.25" customHeight="1" x14ac:dyDescent="0.25">
      <c r="A5" s="6" t="s">
        <v>6</v>
      </c>
      <c r="B5" s="5" t="s">
        <v>7</v>
      </c>
      <c r="C5" s="27" t="s">
        <v>36</v>
      </c>
      <c r="D5" s="4"/>
      <c r="E5" s="6" t="s">
        <v>42</v>
      </c>
      <c r="F5" s="5" t="s">
        <v>18</v>
      </c>
      <c r="G5" s="27" t="s">
        <v>50</v>
      </c>
    </row>
    <row r="6" spans="1:7" ht="23.25" customHeight="1" x14ac:dyDescent="0.25">
      <c r="A6" s="6" t="s">
        <v>8</v>
      </c>
      <c r="B6" s="5" t="s">
        <v>9</v>
      </c>
      <c r="C6" s="27" t="s">
        <v>37</v>
      </c>
      <c r="D6" s="4"/>
      <c r="E6" s="6" t="s">
        <v>43</v>
      </c>
      <c r="F6" s="5" t="s">
        <v>19</v>
      </c>
      <c r="G6" s="27" t="s">
        <v>51</v>
      </c>
    </row>
    <row r="7" spans="1:7" ht="23.25" customHeight="1" x14ac:dyDescent="0.25">
      <c r="A7" s="6" t="s">
        <v>10</v>
      </c>
      <c r="B7" s="5" t="s">
        <v>11</v>
      </c>
      <c r="C7" s="27" t="s">
        <v>38</v>
      </c>
      <c r="D7" s="4"/>
      <c r="E7" s="6" t="s">
        <v>44</v>
      </c>
      <c r="F7" s="5" t="s">
        <v>20</v>
      </c>
      <c r="G7" s="27" t="s">
        <v>52</v>
      </c>
    </row>
    <row r="8" spans="1:7" ht="23.25" customHeight="1" x14ac:dyDescent="0.25">
      <c r="A8" s="6" t="s">
        <v>12</v>
      </c>
      <c r="B8" s="5" t="s">
        <v>13</v>
      </c>
      <c r="C8" s="27" t="s">
        <v>39</v>
      </c>
      <c r="D8" s="4"/>
      <c r="E8" s="6" t="s">
        <v>45</v>
      </c>
      <c r="F8" s="5" t="s">
        <v>21</v>
      </c>
      <c r="G8" s="27" t="s">
        <v>53</v>
      </c>
    </row>
    <row r="9" spans="1:7" ht="23.25" customHeight="1" thickBot="1" x14ac:dyDescent="0.3">
      <c r="A9" s="8" t="s">
        <v>14</v>
      </c>
      <c r="B9" s="9" t="s">
        <v>15</v>
      </c>
      <c r="C9" s="28" t="s">
        <v>40</v>
      </c>
      <c r="D9" s="4"/>
      <c r="E9" s="8" t="s">
        <v>46</v>
      </c>
      <c r="F9" s="9" t="s">
        <v>22</v>
      </c>
      <c r="G9" s="28" t="s">
        <v>54</v>
      </c>
    </row>
    <row r="10" spans="1:7" ht="23.25" customHeight="1" thickBot="1" x14ac:dyDescent="0.3">
      <c r="A10" s="2"/>
      <c r="B10" s="2"/>
      <c r="C10" s="3"/>
    </row>
    <row r="11" spans="1:7" ht="20.25" customHeight="1" x14ac:dyDescent="0.25">
      <c r="A11" s="23" t="s">
        <v>23</v>
      </c>
      <c r="B11" s="64" t="s">
        <v>2</v>
      </c>
      <c r="C11" s="64"/>
      <c r="D11" s="26"/>
      <c r="E11" s="25" t="s">
        <v>3</v>
      </c>
    </row>
    <row r="12" spans="1:7" ht="58.5" customHeight="1" x14ac:dyDescent="0.25">
      <c r="A12" s="6" t="s">
        <v>24</v>
      </c>
      <c r="B12" s="59" t="s">
        <v>48</v>
      </c>
      <c r="C12" s="59"/>
      <c r="D12" s="11"/>
      <c r="E12" s="7" t="s">
        <v>55</v>
      </c>
    </row>
    <row r="13" spans="1:7" ht="39" customHeight="1" x14ac:dyDescent="0.25">
      <c r="A13" s="6" t="s">
        <v>25</v>
      </c>
      <c r="B13" s="59" t="s">
        <v>47</v>
      </c>
      <c r="C13" s="59"/>
      <c r="D13" s="11"/>
      <c r="E13" s="7" t="s">
        <v>56</v>
      </c>
    </row>
    <row r="14" spans="1:7" ht="39" customHeight="1" thickBot="1" x14ac:dyDescent="0.3">
      <c r="A14" s="8" t="s">
        <v>26</v>
      </c>
      <c r="B14" s="60" t="s">
        <v>27</v>
      </c>
      <c r="C14" s="60"/>
      <c r="D14" s="12"/>
      <c r="E14" s="10" t="s">
        <v>57</v>
      </c>
    </row>
    <row r="15" spans="1:7" ht="18" customHeight="1" x14ac:dyDescent="0.25"/>
    <row r="16" spans="1:7" ht="18" customHeight="1" x14ac:dyDescent="0.25"/>
    <row r="17" spans="1:7" ht="18" customHeight="1" x14ac:dyDescent="0.25"/>
    <row r="18" spans="1:7" ht="18" customHeight="1" x14ac:dyDescent="0.25"/>
    <row r="19" spans="1:7" ht="15.75" x14ac:dyDescent="0.25">
      <c r="A19" s="2"/>
      <c r="B19" s="2"/>
      <c r="C19" s="3"/>
      <c r="E19" s="1"/>
      <c r="F19" s="1"/>
      <c r="G19" s="1"/>
    </row>
    <row r="20" spans="1:7" x14ac:dyDescent="0.25">
      <c r="E20" s="2"/>
      <c r="F20" s="2"/>
      <c r="G20" s="3"/>
    </row>
    <row r="21" spans="1:7" ht="27.75" customHeight="1" x14ac:dyDescent="0.25">
      <c r="E21" s="2"/>
      <c r="F21" s="2"/>
      <c r="G21" s="3"/>
    </row>
    <row r="24" spans="1:7" ht="47.25" customHeight="1" x14ac:dyDescent="0.25"/>
    <row r="25" spans="1:7" ht="40.5" customHeight="1" x14ac:dyDescent="0.25"/>
    <row r="26" spans="1:7" ht="34.5" customHeight="1" x14ac:dyDescent="0.25"/>
  </sheetData>
  <mergeCells count="7">
    <mergeCell ref="B13:C13"/>
    <mergeCell ref="B14:C14"/>
    <mergeCell ref="A1:G1"/>
    <mergeCell ref="A2:C2"/>
    <mergeCell ref="E2:G2"/>
    <mergeCell ref="B11:C11"/>
    <mergeCell ref="B12:C12"/>
  </mergeCells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progId="Excel.Sheet.8" shapeId="2049" r:id="rId3">
          <objectPr defaultSize="0" autoPict="0" r:id="rId4">
            <anchor moveWithCells="1">
              <from>
                <xdr:col>5</xdr:col>
                <xdr:colOff>161925</xdr:colOff>
                <xdr:row>9</xdr:row>
                <xdr:rowOff>285750</xdr:rowOff>
              </from>
              <to>
                <xdr:col>6</xdr:col>
                <xdr:colOff>695325</xdr:colOff>
                <xdr:row>13</xdr:row>
                <xdr:rowOff>457200</xdr:rowOff>
              </to>
            </anchor>
          </objectPr>
        </oleObject>
      </mc:Choice>
      <mc:Fallback>
        <oleObject progId="Excel.Sheet.8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C247-F0B6-41B9-B009-9EEC7A6C8679}">
  <dimension ref="B2:O33"/>
  <sheetViews>
    <sheetView showGridLines="0" zoomScaleNormal="100" workbookViewId="0">
      <selection activeCell="K20" sqref="K20"/>
    </sheetView>
  </sheetViews>
  <sheetFormatPr defaultRowHeight="14.25" x14ac:dyDescent="0.25"/>
  <cols>
    <col min="1" max="1" width="2.5703125" style="16" customWidth="1"/>
    <col min="2" max="2" width="36" style="16" bestFit="1" customWidth="1"/>
    <col min="3" max="3" width="16.28515625" style="16" customWidth="1"/>
    <col min="4" max="4" width="27.7109375" style="16" bestFit="1" customWidth="1"/>
    <col min="5" max="5" width="15.28515625" style="16" bestFit="1" customWidth="1"/>
    <col min="6" max="7" width="12.85546875" style="16" customWidth="1"/>
    <col min="8" max="8" width="18.140625" style="16" customWidth="1"/>
    <col min="9" max="9" width="17.140625" style="16" customWidth="1"/>
    <col min="10" max="10" width="17.7109375" style="16" customWidth="1"/>
    <col min="11" max="11" width="20" style="16" customWidth="1"/>
    <col min="12" max="12" width="13.5703125" style="16" customWidth="1"/>
    <col min="13" max="16384" width="9.140625" style="16"/>
  </cols>
  <sheetData>
    <row r="2" spans="2:11" ht="21" customHeight="1" x14ac:dyDescent="0.25">
      <c r="B2" s="53" t="s">
        <v>28</v>
      </c>
      <c r="C2" s="54"/>
      <c r="D2" s="55"/>
      <c r="E2" s="48" t="s">
        <v>58</v>
      </c>
      <c r="F2" s="50"/>
      <c r="G2" s="49"/>
      <c r="H2" s="56"/>
      <c r="I2" s="57"/>
      <c r="J2" s="58"/>
      <c r="K2" s="47"/>
    </row>
    <row r="3" spans="2:11" ht="21" customHeight="1" x14ac:dyDescent="0.25">
      <c r="B3" s="15" t="s">
        <v>29</v>
      </c>
      <c r="C3" s="15" t="s">
        <v>67</v>
      </c>
      <c r="D3" s="15" t="s">
        <v>64</v>
      </c>
      <c r="E3" s="15" t="s">
        <v>75</v>
      </c>
      <c r="F3" s="15" t="s">
        <v>77</v>
      </c>
      <c r="G3" s="15" t="s">
        <v>76</v>
      </c>
      <c r="H3" s="66" t="s">
        <v>59</v>
      </c>
      <c r="I3" s="67" t="s">
        <v>66</v>
      </c>
      <c r="J3" s="68" t="s">
        <v>65</v>
      </c>
      <c r="K3" s="47" t="s">
        <v>82</v>
      </c>
    </row>
    <row r="4" spans="2:11" ht="21" customHeight="1" x14ac:dyDescent="0.25">
      <c r="B4" s="34" t="s">
        <v>62</v>
      </c>
      <c r="C4" s="40" t="s">
        <v>68</v>
      </c>
      <c r="D4" s="35">
        <v>36581</v>
      </c>
      <c r="E4" s="29">
        <f ca="1">DATEDIF(D4,TODAY(),"Y")</f>
        <v>26</v>
      </c>
      <c r="F4" s="29">
        <f ca="1">DATEDIF(D4,TODAY(),"YM")</f>
        <v>2</v>
      </c>
      <c r="G4" s="29">
        <f ca="1">DATEDIF(D4,TODAY(),"MD")</f>
        <v>16</v>
      </c>
      <c r="H4" s="41">
        <v>2844</v>
      </c>
      <c r="I4" s="31">
        <f>H4*12%</f>
        <v>341.28</v>
      </c>
      <c r="J4" s="46">
        <f>H4*0.25</f>
        <v>711</v>
      </c>
      <c r="K4" s="69">
        <f>H4+I4-J4</f>
        <v>2474.2799999999997</v>
      </c>
    </row>
    <row r="5" spans="2:11" ht="21" customHeight="1" x14ac:dyDescent="0.25">
      <c r="B5" s="32" t="s">
        <v>71</v>
      </c>
      <c r="C5" s="29" t="s">
        <v>69</v>
      </c>
      <c r="D5" s="36">
        <v>33663</v>
      </c>
      <c r="E5" s="29">
        <f ca="1">DATEDIF(D5,TODAY(),"Y")</f>
        <v>34</v>
      </c>
      <c r="F5" s="29">
        <f ca="1">DATEDIF(D5,TODAY(),"YM")</f>
        <v>2</v>
      </c>
      <c r="G5" s="29">
        <f ca="1">DATEDIF(D5,TODAY(),"MD")</f>
        <v>12</v>
      </c>
      <c r="H5" s="42">
        <v>3127</v>
      </c>
      <c r="I5" s="31">
        <f>H5*12%</f>
        <v>375.24</v>
      </c>
      <c r="J5" s="46">
        <f>H5*0.25</f>
        <v>781.75</v>
      </c>
      <c r="K5" s="69">
        <f>H5+I5-J5</f>
        <v>2720.49</v>
      </c>
    </row>
    <row r="6" spans="2:11" ht="21" customHeight="1" x14ac:dyDescent="0.25">
      <c r="B6" s="32" t="s">
        <v>63</v>
      </c>
      <c r="C6" s="29" t="s">
        <v>69</v>
      </c>
      <c r="D6" s="36">
        <v>36211</v>
      </c>
      <c r="E6" s="29">
        <f ca="1">DATEDIF(D6,TODAY(),"Y")</f>
        <v>27</v>
      </c>
      <c r="F6" s="29">
        <f ca="1">DATEDIF(D6,TODAY(),"YM")</f>
        <v>2</v>
      </c>
      <c r="G6" s="29">
        <f ca="1">DATEDIF(D6,TODAY(),"MD")</f>
        <v>21</v>
      </c>
      <c r="H6" s="42">
        <v>4064</v>
      </c>
      <c r="I6" s="31">
        <f>H6*12%</f>
        <v>487.68</v>
      </c>
      <c r="J6" s="46">
        <f>H6*0.25</f>
        <v>1016</v>
      </c>
      <c r="K6" s="69">
        <f>H6+I6-J6</f>
        <v>3535.6800000000003</v>
      </c>
    </row>
    <row r="7" spans="2:11" ht="21" customHeight="1" x14ac:dyDescent="0.25">
      <c r="B7" s="33" t="s">
        <v>72</v>
      </c>
      <c r="C7" s="15" t="s">
        <v>69</v>
      </c>
      <c r="D7" s="35">
        <v>38241</v>
      </c>
      <c r="E7" s="29">
        <f ca="1">DATEDIF(D7,TODAY(),"Y")</f>
        <v>21</v>
      </c>
      <c r="F7" s="29">
        <f ca="1">DATEDIF(D7,TODAY(),"YM")</f>
        <v>8</v>
      </c>
      <c r="G7" s="29">
        <f ca="1">DATEDIF(D7,TODAY(),"MD")</f>
        <v>0</v>
      </c>
      <c r="H7" s="41">
        <v>4122</v>
      </c>
      <c r="I7" s="31">
        <f>H7*12%</f>
        <v>494.64</v>
      </c>
      <c r="J7" s="46">
        <f>H7*0.25</f>
        <v>1030.5</v>
      </c>
      <c r="K7" s="69">
        <f>H7+I7-J7</f>
        <v>3586.1400000000003</v>
      </c>
    </row>
    <row r="8" spans="2:11" ht="21" customHeight="1" x14ac:dyDescent="0.25">
      <c r="B8" s="32" t="s">
        <v>61</v>
      </c>
      <c r="C8" s="29" t="s">
        <v>69</v>
      </c>
      <c r="D8" s="36">
        <v>38404</v>
      </c>
      <c r="E8" s="29">
        <f ca="1">DATEDIF(D8,TODAY(),"Y")</f>
        <v>21</v>
      </c>
      <c r="F8" s="29">
        <f ca="1">DATEDIF(D8,TODAY(),"YM")</f>
        <v>2</v>
      </c>
      <c r="G8" s="29">
        <f ca="1">DATEDIF(D8,TODAY(),"MD")</f>
        <v>20</v>
      </c>
      <c r="H8" s="42">
        <v>5009</v>
      </c>
      <c r="I8" s="31">
        <f>H8*12%</f>
        <v>601.07999999999993</v>
      </c>
      <c r="J8" s="46">
        <f>H8*0.25</f>
        <v>1252.25</v>
      </c>
      <c r="K8" s="69">
        <f>H8+I8-J8</f>
        <v>4357.83</v>
      </c>
    </row>
    <row r="9" spans="2:11" ht="21" customHeight="1" x14ac:dyDescent="0.25">
      <c r="B9" s="32" t="s">
        <v>73</v>
      </c>
      <c r="C9" s="29" t="s">
        <v>69</v>
      </c>
      <c r="D9" s="36">
        <v>38408</v>
      </c>
      <c r="E9" s="29">
        <f ca="1">DATEDIF(D9,TODAY(),"Y")</f>
        <v>21</v>
      </c>
      <c r="F9" s="29">
        <f ca="1">DATEDIF(D9,TODAY(),"YM")</f>
        <v>2</v>
      </c>
      <c r="G9" s="29">
        <f ca="1">DATEDIF(D9,TODAY(),"MD")</f>
        <v>16</v>
      </c>
      <c r="H9" s="42">
        <v>5356</v>
      </c>
      <c r="I9" s="31">
        <f>H9*12%</f>
        <v>642.72</v>
      </c>
      <c r="J9" s="46">
        <f>H9*0.25</f>
        <v>1339</v>
      </c>
      <c r="K9" s="69">
        <f>H9+I9-J9</f>
        <v>4659.72</v>
      </c>
    </row>
    <row r="10" spans="2:11" ht="21" customHeight="1" x14ac:dyDescent="0.25">
      <c r="B10" s="33" t="s">
        <v>60</v>
      </c>
      <c r="C10" s="15" t="s">
        <v>68</v>
      </c>
      <c r="D10" s="65">
        <v>34679</v>
      </c>
      <c r="E10" s="29">
        <f ca="1">DATEDIF(D10,TODAY(),"Y")</f>
        <v>31</v>
      </c>
      <c r="F10" s="29">
        <f ca="1">DATEDIF(D10,TODAY(),"YM")</f>
        <v>5</v>
      </c>
      <c r="G10" s="29">
        <f ca="1">DATEDIF(D10,TODAY(),"MD")</f>
        <v>0</v>
      </c>
      <c r="H10" s="41">
        <v>5571</v>
      </c>
      <c r="I10" s="31">
        <f>H10*12%</f>
        <v>668.52</v>
      </c>
      <c r="J10" s="46">
        <f>H10*0.25</f>
        <v>1392.75</v>
      </c>
      <c r="K10" s="69">
        <f>H10+I10-J10</f>
        <v>4846.7700000000004</v>
      </c>
    </row>
    <row r="11" spans="2:11" ht="21" customHeight="1" x14ac:dyDescent="0.25">
      <c r="B11" s="33" t="s">
        <v>70</v>
      </c>
      <c r="C11" s="15" t="s">
        <v>68</v>
      </c>
      <c r="D11" s="35">
        <v>32082</v>
      </c>
      <c r="E11" s="29">
        <f ca="1">DATEDIF(D11,TODAY(),"Y")</f>
        <v>38</v>
      </c>
      <c r="F11" s="29">
        <f ca="1">DATEDIF(D11,TODAY(),"YM")</f>
        <v>6</v>
      </c>
      <c r="G11" s="29">
        <f ca="1">DATEDIF(D11,TODAY(),"MD")</f>
        <v>10</v>
      </c>
      <c r="H11" s="41">
        <v>5659</v>
      </c>
      <c r="I11" s="31">
        <f>H11*12%</f>
        <v>679.07999999999993</v>
      </c>
      <c r="J11" s="46">
        <f>H11*0.25</f>
        <v>1414.75</v>
      </c>
      <c r="K11" s="69">
        <f>H11+I11-J11</f>
        <v>4923.33</v>
      </c>
    </row>
    <row r="12" spans="2:11" ht="21" customHeight="1" x14ac:dyDescent="0.25">
      <c r="B12" s="38" t="s">
        <v>84</v>
      </c>
      <c r="C12" s="30" t="s">
        <v>68</v>
      </c>
      <c r="D12" s="44">
        <v>27443</v>
      </c>
      <c r="E12" s="29">
        <f ca="1">DATEDIF(D12,TODAY(),"Y")</f>
        <v>51</v>
      </c>
      <c r="F12" s="29">
        <f ca="1">DATEDIF(D12,TODAY(),"YM")</f>
        <v>2</v>
      </c>
      <c r="G12" s="29">
        <f ca="1">DATEDIF(D12,TODAY(),"MD")</f>
        <v>23</v>
      </c>
      <c r="H12" s="45">
        <v>8000</v>
      </c>
      <c r="I12" s="31">
        <f>H12*12%</f>
        <v>960</v>
      </c>
      <c r="J12" s="46">
        <f>H12*0.25</f>
        <v>2000</v>
      </c>
      <c r="K12" s="69">
        <f>H12+I12-J12</f>
        <v>6960</v>
      </c>
    </row>
    <row r="13" spans="2:11" ht="21" customHeight="1" x14ac:dyDescent="0.25">
      <c r="B13" s="15" t="s">
        <v>30</v>
      </c>
      <c r="C13" s="43"/>
      <c r="D13" s="43"/>
      <c r="E13" s="29"/>
      <c r="F13" s="29"/>
      <c r="G13" s="29"/>
      <c r="H13" s="37"/>
      <c r="I13" s="31"/>
      <c r="J13" s="46"/>
      <c r="K13" s="69"/>
    </row>
    <row r="14" spans="2:11" ht="21" customHeight="1" thickBot="1" x14ac:dyDescent="0.3"/>
    <row r="15" spans="2:11" ht="21" customHeight="1" x14ac:dyDescent="0.25">
      <c r="B15" s="39" t="s">
        <v>31</v>
      </c>
      <c r="D15" s="71" t="s">
        <v>74</v>
      </c>
      <c r="E15" s="72">
        <f ca="1">AVERAGE(E4:E12)</f>
        <v>30</v>
      </c>
      <c r="F15" s="70"/>
      <c r="G15" s="70"/>
      <c r="H15" s="17"/>
      <c r="I15" s="51" t="s">
        <v>78</v>
      </c>
      <c r="J15" s="52"/>
      <c r="K15" s="15">
        <f>COUNTIF(C4:C12,"Feminino")</f>
        <v>5</v>
      </c>
    </row>
    <row r="16" spans="2:11" ht="21" customHeight="1" x14ac:dyDescent="0.25">
      <c r="B16" s="39" t="s">
        <v>32</v>
      </c>
      <c r="D16" s="73" t="s">
        <v>85</v>
      </c>
      <c r="E16" s="74">
        <f ca="1">MAX(E4:E12)</f>
        <v>51</v>
      </c>
      <c r="F16" s="70"/>
      <c r="G16" s="70"/>
      <c r="H16" s="17"/>
      <c r="I16" s="51" t="s">
        <v>79</v>
      </c>
      <c r="J16" s="52"/>
      <c r="K16" s="15">
        <f>COUNTIF(C4:C12,"Masculino")</f>
        <v>4</v>
      </c>
    </row>
    <row r="17" spans="2:15" ht="21" customHeight="1" thickBot="1" x14ac:dyDescent="0.3">
      <c r="B17" s="39" t="s">
        <v>33</v>
      </c>
      <c r="D17" s="75" t="s">
        <v>86</v>
      </c>
      <c r="E17" s="76">
        <f ca="1">MIN(E4:E12)</f>
        <v>21</v>
      </c>
      <c r="F17" s="70"/>
      <c r="G17" s="70"/>
      <c r="H17" s="17"/>
      <c r="I17" s="48"/>
      <c r="J17" s="49"/>
      <c r="K17" s="83">
        <f>SUM(K15:K16)</f>
        <v>9</v>
      </c>
    </row>
    <row r="18" spans="2:15" ht="21" customHeight="1" thickBot="1" x14ac:dyDescent="0.3">
      <c r="B18" s="39" t="s">
        <v>34</v>
      </c>
      <c r="I18" s="48" t="s">
        <v>81</v>
      </c>
      <c r="J18" s="49"/>
      <c r="K18" s="84">
        <f>K15/K17</f>
        <v>0.55555555555555558</v>
      </c>
    </row>
    <row r="19" spans="2:15" ht="21" customHeight="1" x14ac:dyDescent="0.25">
      <c r="B19" s="39" t="s">
        <v>89</v>
      </c>
      <c r="D19" s="77" t="s">
        <v>87</v>
      </c>
      <c r="E19" s="78">
        <f>LARGE(H4:H12,2)</f>
        <v>5659</v>
      </c>
      <c r="F19" s="70"/>
      <c r="G19" s="70"/>
      <c r="H19" s="17"/>
      <c r="I19" s="48" t="s">
        <v>80</v>
      </c>
      <c r="J19" s="49"/>
      <c r="K19" s="84">
        <f>K16/K17</f>
        <v>0.44444444444444442</v>
      </c>
    </row>
    <row r="20" spans="2:15" ht="21" customHeight="1" x14ac:dyDescent="0.25">
      <c r="B20" s="39" t="s">
        <v>90</v>
      </c>
      <c r="D20" s="79" t="s">
        <v>88</v>
      </c>
      <c r="E20" s="80">
        <f>SMALL(H4:H12,3)</f>
        <v>4064</v>
      </c>
      <c r="F20" s="70"/>
      <c r="G20" s="70"/>
      <c r="H20" s="17"/>
      <c r="I20" s="48" t="s">
        <v>30</v>
      </c>
      <c r="J20" s="49"/>
      <c r="K20" s="85">
        <f>SUM(K18:K19)</f>
        <v>1</v>
      </c>
    </row>
    <row r="21" spans="2:15" ht="21.75" customHeight="1" thickBot="1" x14ac:dyDescent="0.3">
      <c r="D21" s="81" t="s">
        <v>83</v>
      </c>
      <c r="E21" s="82">
        <f>AVERAGE(H4:H12)</f>
        <v>4861.333333333333</v>
      </c>
      <c r="F21" s="70"/>
      <c r="G21" s="70"/>
    </row>
    <row r="24" spans="2:15" ht="15" x14ac:dyDescent="0.25">
      <c r="J24" s="18"/>
      <c r="K24" s="13"/>
      <c r="L24" s="13"/>
      <c r="M24" s="18"/>
      <c r="N24" s="18"/>
      <c r="O24" s="18"/>
    </row>
    <row r="25" spans="2:15" x14ac:dyDescent="0.25">
      <c r="J25" s="18"/>
      <c r="K25" s="14"/>
      <c r="L25" s="14"/>
      <c r="M25" s="14"/>
      <c r="N25" s="18"/>
      <c r="O25" s="18"/>
    </row>
    <row r="26" spans="2:15" x14ac:dyDescent="0.25">
      <c r="J26" s="18"/>
      <c r="K26" s="14"/>
      <c r="L26" s="14"/>
      <c r="M26" s="14"/>
      <c r="N26" s="18"/>
      <c r="O26" s="18"/>
    </row>
    <row r="27" spans="2:15" x14ac:dyDescent="0.25">
      <c r="J27" s="18"/>
      <c r="K27" s="14"/>
      <c r="L27" s="14"/>
      <c r="M27" s="14"/>
      <c r="N27" s="18"/>
      <c r="O27" s="18"/>
    </row>
    <row r="28" spans="2:15" ht="15" x14ac:dyDescent="0.25">
      <c r="J28" s="18"/>
      <c r="K28" s="13"/>
      <c r="L28" s="13"/>
      <c r="M28" s="13"/>
      <c r="N28" s="18"/>
      <c r="O28" s="18"/>
    </row>
    <row r="29" spans="2:15" ht="15" x14ac:dyDescent="0.25">
      <c r="J29" s="18"/>
      <c r="K29" s="13"/>
      <c r="L29" s="13"/>
      <c r="M29" s="13"/>
      <c r="N29" s="18"/>
      <c r="O29" s="18"/>
    </row>
    <row r="30" spans="2:15" ht="15" customHeight="1" x14ac:dyDescent="0.25">
      <c r="J30" s="18"/>
      <c r="K30" s="18"/>
      <c r="L30" s="19"/>
      <c r="M30" s="19"/>
      <c r="N30" s="19"/>
      <c r="O30" s="19"/>
    </row>
    <row r="31" spans="2:15" ht="15" customHeight="1" x14ac:dyDescent="0.25">
      <c r="J31" s="18"/>
      <c r="K31" s="18"/>
      <c r="L31" s="19"/>
      <c r="M31" s="19"/>
      <c r="N31" s="19"/>
      <c r="O31" s="19"/>
    </row>
    <row r="32" spans="2:15" ht="15" customHeight="1" x14ac:dyDescent="0.25">
      <c r="J32" s="18"/>
      <c r="K32" s="18"/>
      <c r="L32" s="19"/>
      <c r="M32" s="19"/>
      <c r="N32" s="19"/>
      <c r="O32" s="19"/>
    </row>
    <row r="33" spans="10:15" x14ac:dyDescent="0.25">
      <c r="J33" s="18"/>
      <c r="K33" s="18"/>
      <c r="L33" s="18"/>
      <c r="M33" s="18"/>
      <c r="N33" s="18"/>
      <c r="O33" s="18"/>
    </row>
  </sheetData>
  <autoFilter ref="B3:K3" xr:uid="{7448C247-F0B6-41B9-B009-9EEC7A6C8679}">
    <sortState xmlns:xlrd2="http://schemas.microsoft.com/office/spreadsheetml/2017/richdata2" ref="B4:K13">
      <sortCondition ref="H3"/>
    </sortState>
  </autoFilter>
  <mergeCells count="9">
    <mergeCell ref="B2:D2"/>
    <mergeCell ref="H2:J2"/>
    <mergeCell ref="I18:J18"/>
    <mergeCell ref="I19:J19"/>
    <mergeCell ref="I20:J20"/>
    <mergeCell ref="E2:G2"/>
    <mergeCell ref="I15:J15"/>
    <mergeCell ref="I16:J16"/>
    <mergeCell ref="I17:J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2FE8-89DB-4B9A-9BE6-A5E8DDCA08A1}">
  <dimension ref="A1"/>
  <sheetViews>
    <sheetView showGridLines="0" workbookViewId="0">
      <selection activeCell="K50" sqref="K5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Introdução</vt:lpstr>
      <vt:lpstr>Desafio</vt:lpstr>
      <vt:lpstr>Tabela_periódica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CESAR VIEIRA</dc:creator>
  <cp:lastModifiedBy>Wagner Cesar Vieira</cp:lastModifiedBy>
  <dcterms:created xsi:type="dcterms:W3CDTF">2024-09-02T01:22:46Z</dcterms:created>
  <dcterms:modified xsi:type="dcterms:W3CDTF">2026-05-11T22:32:52Z</dcterms:modified>
</cp:coreProperties>
</file>