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4. Projetos TIC - Química\ptic_quimica\Exercícios\"/>
    </mc:Choice>
  </mc:AlternateContent>
  <xr:revisionPtr revIDLastSave="0" documentId="13_ncr:1_{027617D9-C41B-410C-9D2C-06E70C447C53}" xr6:coauthVersionLast="47" xr6:coauthVersionMax="47" xr10:uidLastSave="{00000000-0000-0000-0000-000000000000}"/>
  <bookViews>
    <workbookView xWindow="-120" yWindow="-120" windowWidth="20730" windowHeight="11040" xr2:uid="{DF3537CB-6E0A-4E7C-ABFB-B677C0E8847D}"/>
  </bookViews>
  <sheets>
    <sheet name="Transp" sheetId="1" r:id="rId1"/>
  </sheets>
  <definedNames>
    <definedName name="_xlnm._FilterDatabase" localSheetId="0" hidden="1">Transp!$B$3:$J$3</definedName>
    <definedName name="Destinos">Transp!$E$4:$E$20</definedName>
    <definedName name="Estados">Transp!$F$4:$F$20</definedName>
    <definedName name="Fretes">Transp!$L$4:$L$20</definedName>
    <definedName name="Motoristas">Transp!$J$4:$J$20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E29" i="1"/>
  <c r="E25" i="1"/>
  <c r="B25" i="1"/>
  <c r="I10" i="1"/>
  <c r="I11" i="1"/>
  <c r="I12" i="1"/>
  <c r="H5" i="1"/>
  <c r="I5" i="1" s="1"/>
  <c r="H6" i="1"/>
  <c r="H7" i="1"/>
  <c r="H8" i="1"/>
  <c r="I8" i="1" s="1"/>
  <c r="H9" i="1"/>
  <c r="I9" i="1" s="1"/>
  <c r="H10" i="1"/>
  <c r="H11" i="1"/>
  <c r="H12" i="1"/>
  <c r="H13" i="1"/>
  <c r="I13" i="1" s="1"/>
  <c r="H14" i="1"/>
  <c r="H15" i="1"/>
  <c r="I15" i="1" s="1"/>
  <c r="H16" i="1"/>
  <c r="I16" i="1" s="1"/>
  <c r="H17" i="1"/>
  <c r="H18" i="1"/>
  <c r="H19" i="1"/>
  <c r="I19" i="1" s="1"/>
  <c r="H20" i="1"/>
  <c r="I20" i="1" s="1"/>
  <c r="H4" i="1"/>
  <c r="I4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4" i="1"/>
  <c r="C10" i="1"/>
  <c r="C11" i="1"/>
  <c r="C12" i="1"/>
  <c r="I6" i="1"/>
  <c r="I7" i="1"/>
  <c r="I14" i="1"/>
  <c r="I17" i="1"/>
  <c r="I18" i="1"/>
  <c r="C20" i="1"/>
  <c r="C19" i="1"/>
  <c r="C18" i="1"/>
  <c r="C17" i="1"/>
  <c r="C16" i="1"/>
  <c r="C15" i="1"/>
  <c r="C14" i="1"/>
  <c r="C13" i="1"/>
  <c r="C9" i="1"/>
  <c r="C8" i="1"/>
  <c r="C7" i="1"/>
  <c r="C6" i="1"/>
  <c r="C5" i="1"/>
  <c r="C4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<sst xmlns="http://schemas.openxmlformats.org/spreadsheetml/2006/main" count="71" uniqueCount="56">
  <si>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</si>
  <si>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</si>
  <si>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</si>
  <si>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</si>
  <si>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</si>
  <si>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</si>
  <si>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</si>
  <si>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</si>
  <si>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</si>
  <si>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</si>
  <si>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</si>
  <si>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Aline Silva</t>
  </si>
  <si>
    <t>Ana Filardi</t>
  </si>
  <si>
    <t>Caio Amorim</t>
  </si>
  <si>
    <t>João Castro</t>
  </si>
  <si>
    <t>Matheus Castro</t>
  </si>
  <si>
    <t>Poline Almeida</t>
  </si>
  <si>
    <t>Victor Fonseca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</si>
  <si>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</si>
  <si>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</si>
  <si>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</si>
  <si>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</si>
  <si>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</si>
  <si>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</si>
  <si>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</si>
  <si>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</si>
  <si>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</si>
  <si>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</si>
  <si>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</si>
  <si>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</si>
  <si>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Prazo (dias úteis)</t>
  </si>
  <si>
    <t>Transportadora Rumo Certo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</si>
  <si>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</si>
  <si>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</si>
  <si>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</si>
  <si>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</si>
  <si>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</si>
  <si>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</si>
  <si>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</si>
  <si>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Estado</t>
  </si>
  <si>
    <t>Taquaritinga - SP</t>
  </si>
  <si>
    <t>Custos totais (Soma dos custos)</t>
  </si>
  <si>
    <t>Faturamento (Total de fretes)</t>
  </si>
  <si>
    <t>Tempo detalhado (Coluna automática - não mexer)</t>
  </si>
  <si>
    <t>=MÉDIA(D4:D17)</t>
  </si>
  <si>
    <t>Palmas - TO</t>
  </si>
  <si>
    <t>Vila Velha - ES</t>
  </si>
  <si>
    <t>Dourados - MS</t>
  </si>
  <si>
    <t>Maria das Cruzes</t>
  </si>
  <si>
    <t>José das Couves</t>
  </si>
  <si>
    <t>João Sai Correndo</t>
  </si>
  <si>
    <t>=SOMASE(Destinos;B23;Fretes)</t>
  </si>
  <si>
    <t>MG</t>
  </si>
  <si>
    <t>=MÉDIASE(F4:F20;E32;D4:D20)</t>
  </si>
  <si>
    <t>=SOMASES(Fretes;B4:B20;&gt;=B30;c4:c20;&lt;=B32)</t>
  </si>
  <si>
    <t>=SOMASE(Motoristas;E23;Fretes)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</si>
</sst>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h:mm:ss;@"/>
    <numFmt numFmtId="165" formatCode="[$-F800]dddd\,\ mmmm\ dd\,\ yyyy"/>
    <numFmt numFmtId="166" formatCode="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1"/>
      <color rgb="FFFFC000"/>
      <name val="Arial"/>
      <family val="2"/>
    </font>
    <font>
      <b/>
      <sz val="11"/>
      <name val="Aptos Narrow"/>
      <family val="2"/>
      <scheme val="minor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5" fillId="0" borderId="11" xfId="0" applyFont="1" applyBorder="1" applyAlignment="1">
      <alignment horizontal="center"/>
    </xf>
    <xf numFmtId="0" fontId="6" fillId="2" borderId="12" xfId="0" applyFont="1" applyFill="1" applyBorder="1" applyAlignment="1">
      <alignment horizontal="center" vertical="center"/>
    </xf>
    <xf numFmtId="14" fontId="5" fillId="0" borderId="11" xfId="0" applyNumberFormat="1" applyFont="1" applyBorder="1" applyAlignment="1">
      <alignment horizontal="center"/>
    </xf>
    <xf numFmtId="0" fontId="5" fillId="0" borderId="11" xfId="0" applyFont="1" applyBorder="1"/>
    <xf numFmtId="44" fontId="5" fillId="0" borderId="11" xfId="0" applyNumberFormat="1" applyFont="1" applyBorder="1"/>
    <xf numFmtId="44" fontId="5" fillId="0" borderId="11" xfId="1" applyFont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164" fontId="5" fillId="0" borderId="13" xfId="0" applyNumberFormat="1" applyFont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16" xfId="0" applyFont="1" applyBorder="1"/>
    <xf numFmtId="0" fontId="1" fillId="3" borderId="1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49" fontId="9" fillId="0" borderId="18" xfId="0" applyNumberFormat="1" applyFont="1" applyBorder="1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/>
    </xf>
    <xf numFmtId="0" fontId="10" fillId="0" borderId="11" xfId="0" applyFont="1" applyBorder="1"/>
    <xf numFmtId="0" fontId="10" fillId="5" borderId="11" xfId="0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44" fontId="10" fillId="0" borderId="11" xfId="1" applyFont="1" applyBorder="1"/>
    <xf numFmtId="0" fontId="2" fillId="6" borderId="6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44" fontId="2" fillId="6" borderId="6" xfId="1" applyFont="1" applyFill="1" applyBorder="1" applyAlignment="1">
      <alignment horizontal="center"/>
    </xf>
    <xf numFmtId="44" fontId="2" fillId="6" borderId="7" xfId="1" applyFont="1" applyFill="1" applyBorder="1" applyAlignment="1">
      <alignment horizontal="center"/>
    </xf>
    <xf numFmtId="44" fontId="2" fillId="6" borderId="10" xfId="1" applyFont="1" applyFill="1" applyBorder="1"/>
    <xf numFmtId="49" fontId="0" fillId="0" borderId="0" xfId="0" applyNumberFormat="1"/>
    <xf numFmtId="14" fontId="2" fillId="0" borderId="4" xfId="0" applyNumberFormat="1" applyFont="1" applyBorder="1" applyAlignment="1">
      <alignment horizontal="center"/>
    </xf>
    <xf numFmtId="49" fontId="0" fillId="0" borderId="0" xfId="0" applyNumberFormat="1" applyBorder="1" applyAlignment="1">
      <alignment horizontal="left"/>
    </xf>
    <xf numFmtId="49" fontId="9" fillId="0" borderId="0" xfId="0" applyNumberFormat="1" applyFont="1"/>
    <xf numFmtId="166" fontId="5" fillId="5" borderId="11" xfId="0" applyNumberFormat="1" applyFont="1" applyFill="1" applyBorder="1" applyAlignment="1">
      <alignment horizontal="center"/>
    </xf>
    <xf numFmtId="166" fontId="10" fillId="5" borderId="11" xfId="0" applyNumberFormat="1" applyFont="1" applyFill="1" applyBorder="1" applyAlignment="1">
      <alignment horizontal="center"/>
    </xf>
    <xf numFmtId="0" fontId="2" fillId="6" borderId="19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157370</xdr:colOff>
      <xdr:row>0</xdr:row>
      <xdr:rowOff>57980</xdr:rowOff>
    </xdr:from>
    <xdr:to>
      <xdr:col>1</xdr:col>
      <xdr:colOff>563218</xdr:colOff>
      <xdr:row>1</xdr:row>
      <xdr:rowOff>273328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A506-A790-AA4D-8374-23179E883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457" y="57980"/>
          <a:ext cx="405848" cy="405848"/>
        </a:xfrm>
        <a:prstGeom prst="rect">
          <a:avLst/>
        </a:prstGeom>
      </xdr:spPr>
    </xdr:pic>
    <xdr:clientData/>
  </xdr:twoCellAnchor>
  <xdr:twoCellAnchor>
    <xdr:from>
      <xdr:col>2</xdr:col>
      <xdr:colOff>945173</xdr:colOff>
      <xdr:row>25</xdr:row>
      <xdr:rowOff>36634</xdr:rowOff>
    </xdr:from>
    <xdr:to>
      <xdr:col>2</xdr:col>
      <xdr:colOff>1003789</xdr:colOff>
      <xdr:row>26</xdr:row>
      <xdr:rowOff>95250</xdr:rowOff>
    </xdr:to>
    <xdr:sp macro="" textlink="">
      <xdr:nvSpPr>
        <xdr:cNvPr id="10" name="Seta: para Cima 9">
          <a:extLst>
            <a:ext uri="{FF2B5EF4-FFF2-40B4-BE49-F238E27FC236}">
              <a16:creationId xmlns:a16="http://schemas.microsoft.com/office/drawing/2014/main" id="{3F3849DE-0FE2-508E-6AAB-E59905EC491C}"/>
            </a:ext>
          </a:extLst>
        </xdr:cNvPr>
        <xdr:cNvSpPr/>
      </xdr:nvSpPr>
      <xdr:spPr>
        <a:xfrm>
          <a:off x="2154115" y="6059365"/>
          <a:ext cx="58616" cy="285750"/>
        </a:xfrm>
        <a:prstGeom prst="upArrow">
          <a:avLst/>
        </a:prstGeom>
        <a:solidFill>
          <a:schemeClr val="accent2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82794</xdr:colOff>
      <xdr:row>24</xdr:row>
      <xdr:rowOff>90121</xdr:rowOff>
    </xdr:from>
    <xdr:to>
      <xdr:col>5</xdr:col>
      <xdr:colOff>368544</xdr:colOff>
      <xdr:row>24</xdr:row>
      <xdr:rowOff>148737</xdr:rowOff>
    </xdr:to>
    <xdr:sp macro="" textlink="">
      <xdr:nvSpPr>
        <xdr:cNvPr id="11" name="Seta: para Cima 10">
          <a:extLst>
            <a:ext uri="{FF2B5EF4-FFF2-40B4-BE49-F238E27FC236}">
              <a16:creationId xmlns:a16="http://schemas.microsoft.com/office/drawing/2014/main" id="{5548AA33-A10E-43B2-8984-CFFDF8E65A36}"/>
            </a:ext>
          </a:extLst>
        </xdr:cNvPr>
        <xdr:cNvSpPr/>
      </xdr:nvSpPr>
      <xdr:spPr>
        <a:xfrm rot="16200000">
          <a:off x="4717073" y="5772150"/>
          <a:ext cx="58616" cy="285750"/>
        </a:xfrm>
        <a:prstGeom prst="upArrow">
          <a:avLst/>
        </a:prstGeom>
        <a:solidFill>
          <a:schemeClr val="accent2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42"/>
  <sheetViews>
    <sheetView showGridLines="0" tabSelected="1" zoomScale="130" zoomScaleNormal="130" workbookViewId="0">
      <selection activeCell="B33" sqref="B33:C33"/>
    </sheetView>
  </sheetViews>
  <sheetFormatPr defaultRowHeight="15" x14ac:dyDescent="0.25"/>
  <cols>
    <col min="1" max="1" width="2.28515625" customWidth="1"/>
    <col min="2" max="3" width="15.85546875" style="1" customWidth="1"/>
    <col min="4" max="4" width="12" style="2" customWidth="1"/>
    <col min="5" max="5" width="21.85546875" customWidth="1"/>
    <col min="6" max="6" width="10.28515625" style="1" customWidth="1"/>
    <col min="7" max="7" width="10.85546875" customWidth="1"/>
    <col min="8" max="8" width="13.140625" style="1" customWidth="1"/>
    <col min="9" max="9" width="45.5703125" bestFit="1" customWidth="1"/>
    <col min="10" max="10" width="18.5703125" bestFit="1" customWidth="1"/>
    <col min="11" max="11" width="13.7109375" customWidth="1"/>
    <col min="12" max="12" width="17.85546875" customWidth="1"/>
  </cols>
  <sheetData>
    <row r="1" spans="2:12" x14ac:dyDescent="0.25">
      <c r="B1" s="44" t="s">
        <v>31</v>
      </c>
      <c r="C1" s="44"/>
      <c r="D1" s="44"/>
      <c r="E1" s="14" t="s">
        <v>35</v>
      </c>
      <c r="F1" s="36" t="s">
        <v>37</v>
      </c>
      <c r="G1" s="36"/>
      <c r="H1" s="36"/>
      <c r="I1" s="36"/>
      <c r="J1" s="36"/>
      <c r="K1" s="14" t="s">
        <v>36</v>
      </c>
      <c r="L1" s="14" t="s">
        <v>38</v>
      </c>
    </row>
    <row r="2" spans="2:12" s="4" customFormat="1" ht="23.25" customHeight="1" x14ac:dyDescent="0.25">
      <c r="B2" s="45"/>
      <c r="C2" s="45"/>
      <c r="D2" s="45"/>
      <c r="E2" s="15" t="s">
        <v>40</v>
      </c>
      <c r="F2" s="35" t="str">
        <f ca="1">"Hoje é "&amp;TEXT(NOW(),"dddd"", dia ""dd"" de ""mmmm"" de ""aaaa"". Horário: ""hh:mm:ss")</f>
        <v>Hoje é terça-feira, dia 26 de maio de 2026. Horário: 18:38:25</v>
      </c>
      <c r="G2" s="35"/>
      <c r="H2" s="35"/>
      <c r="I2" s="35"/>
      <c r="J2" s="35"/>
      <c r="K2" s="17">
        <v>0.61111111111111116</v>
      </c>
      <c r="L2" s="15">
        <v>90</v>
      </c>
    </row>
    <row r="3" spans="2:12" ht="45" x14ac:dyDescent="0.25">
      <c r="B3" s="6" t="s">
        <v>0</v>
      </c>
      <c r="C3" s="6" t="s">
        <v>1</v>
      </c>
      <c r="D3" s="28" t="s">
        <v>30</v>
      </c>
      <c r="E3" s="13" t="s">
        <v>18</v>
      </c>
      <c r="F3" s="29" t="s">
        <v>39</v>
      </c>
      <c r="G3" s="16" t="s">
        <v>32</v>
      </c>
      <c r="H3" s="30" t="s">
        <v>33</v>
      </c>
      <c r="I3" s="16" t="s">
        <v>43</v>
      </c>
      <c r="J3" s="13" t="s">
        <v>21</v>
      </c>
      <c r="K3" s="13" t="s">
        <v>19</v>
      </c>
      <c r="L3" s="13" t="s">
        <v>20</v>
      </c>
    </row>
    <row r="4" spans="2:12" ht="18" customHeight="1" x14ac:dyDescent="0.25">
      <c r="B4" s="7">
        <v>46365</v>
      </c>
      <c r="C4" s="7">
        <f>B4+6</f>
        <v>46371</v>
      </c>
      <c r="D4" s="32">
        <f>C4-B4</f>
        <v>6</v>
      </c>
      <c r="E4" s="8" t="s">
        <v>10</v>
      </c>
      <c r="F4" s="33" t="str">
        <f>RIGHT(E4,2)</f>
        <v>MG</v>
      </c>
      <c r="G4" s="5">
        <v>1187</v>
      </c>
      <c r="H4" s="64">
        <f>G4/$L$2</f>
        <v>13.188888888888888</v>
      </c>
      <c r="I4" s="27" t="str">
        <f>IF(H4&lt;&gt;"",TEXT(H4/24,"dd"" dias, ""hh"" hora(s), ""mm"" minuto(s), ""ss"" segundos"""),"")</f>
        <v>00 dias, 13 hora(s), 11 minuto(s), 20 segundos</v>
      </c>
      <c r="J4" s="8" t="s">
        <v>12</v>
      </c>
      <c r="K4" s="9">
        <v>2686.67</v>
      </c>
      <c r="L4" s="9">
        <v>7793.19</v>
      </c>
    </row>
    <row r="5" spans="2:12" ht="18" customHeight="1" x14ac:dyDescent="0.25">
      <c r="B5" s="7">
        <v>46339</v>
      </c>
      <c r="C5" s="7">
        <f>B5+7</f>
        <v>46346</v>
      </c>
      <c r="D5" s="32">
        <f t="shared" ref="D5:D20" si="0">C5-B5</f>
        <v>7</v>
      </c>
      <c r="E5" s="8" t="s">
        <v>4</v>
      </c>
      <c r="F5" s="33" t="str">
        <f t="shared" ref="F5:F20" si="1">RIGHT(E5,2)</f>
        <v>SP</v>
      </c>
      <c r="G5" s="5">
        <v>587</v>
      </c>
      <c r="H5" s="64">
        <f t="shared" ref="H5:H20" si="2">G5/$L$2</f>
        <v>6.5222222222222221</v>
      </c>
      <c r="I5" s="27" t="str">
        <f t="shared" ref="I5:I20" si="3">IF(H5&lt;&gt;"",TEXT(H5/24,"dd"" dias, ""hh"" hora(s), ""mm"" minuto(s), ""ss"" segundos"""),"")</f>
        <v>00 dias, 06 hora(s), 31 minuto(s), 20 segundos</v>
      </c>
      <c r="J5" s="8" t="s">
        <v>11</v>
      </c>
      <c r="K5" s="10">
        <v>1787.03</v>
      </c>
      <c r="L5" s="10">
        <v>4116.8500000000004</v>
      </c>
    </row>
    <row r="6" spans="2:12" ht="18" customHeight="1" x14ac:dyDescent="0.25">
      <c r="B6" s="7">
        <v>46358</v>
      </c>
      <c r="C6" s="7">
        <f>B6+8</f>
        <v>46366</v>
      </c>
      <c r="D6" s="32">
        <f t="shared" si="0"/>
        <v>8</v>
      </c>
      <c r="E6" s="8" t="s">
        <v>2</v>
      </c>
      <c r="F6" s="33" t="str">
        <f t="shared" si="1"/>
        <v>PE</v>
      </c>
      <c r="G6" s="5">
        <v>5013</v>
      </c>
      <c r="H6" s="64">
        <f t="shared" si="2"/>
        <v>55.7</v>
      </c>
      <c r="I6" s="27" t="str">
        <f t="shared" si="3"/>
        <v>02 dias, 07 hora(s), 42 minuto(s), 00 segundos</v>
      </c>
      <c r="J6" s="8" t="s">
        <v>17</v>
      </c>
      <c r="K6" s="10">
        <v>8389.85</v>
      </c>
      <c r="L6" s="10">
        <v>31228.11</v>
      </c>
    </row>
    <row r="7" spans="2:12" ht="18" customHeight="1" x14ac:dyDescent="0.25">
      <c r="B7" s="7">
        <v>46015</v>
      </c>
      <c r="C7" s="7">
        <f>B7+9</f>
        <v>46024</v>
      </c>
      <c r="D7" s="32">
        <f t="shared" si="0"/>
        <v>9</v>
      </c>
      <c r="E7" s="8" t="s">
        <v>5</v>
      </c>
      <c r="F7" s="33" t="str">
        <f t="shared" si="1"/>
        <v>RJ</v>
      </c>
      <c r="G7" s="5">
        <v>1585</v>
      </c>
      <c r="H7" s="64">
        <f t="shared" si="2"/>
        <v>17.611111111111111</v>
      </c>
      <c r="I7" s="27" t="str">
        <f t="shared" si="3"/>
        <v>00 dias, 17 hora(s), 36 minuto(s), 40 segundos</v>
      </c>
      <c r="J7" s="8" t="s">
        <v>13</v>
      </c>
      <c r="K7" s="10">
        <v>4363.38</v>
      </c>
      <c r="L7" s="10">
        <v>10234.4</v>
      </c>
    </row>
    <row r="8" spans="2:12" ht="18" customHeight="1" x14ac:dyDescent="0.25">
      <c r="B8" s="7">
        <v>46167</v>
      </c>
      <c r="C8" s="7">
        <f>B8+10</f>
        <v>46177</v>
      </c>
      <c r="D8" s="32">
        <f t="shared" si="0"/>
        <v>10</v>
      </c>
      <c r="E8" s="8" t="s">
        <v>7</v>
      </c>
      <c r="F8" s="33" t="str">
        <f t="shared" si="1"/>
        <v>BA</v>
      </c>
      <c r="G8" s="5">
        <v>3664</v>
      </c>
      <c r="H8" s="64">
        <f t="shared" si="2"/>
        <v>40.711111111111109</v>
      </c>
      <c r="I8" s="27" t="str">
        <f t="shared" si="3"/>
        <v>01 dias, 16 hora(s), 42 minuto(s), 40 segundos</v>
      </c>
      <c r="J8" s="8" t="s">
        <v>15</v>
      </c>
      <c r="K8" s="10">
        <v>6500.36</v>
      </c>
      <c r="L8" s="10">
        <v>22963.33</v>
      </c>
    </row>
    <row r="9" spans="2:12" ht="18" customHeight="1" x14ac:dyDescent="0.25">
      <c r="B9" s="7">
        <v>46325</v>
      </c>
      <c r="C9" s="7">
        <f>B9+10</f>
        <v>46335</v>
      </c>
      <c r="D9" s="32">
        <f t="shared" si="0"/>
        <v>10</v>
      </c>
      <c r="E9" s="8" t="s">
        <v>7</v>
      </c>
      <c r="F9" s="33" t="str">
        <f t="shared" si="1"/>
        <v>BA</v>
      </c>
      <c r="G9" s="5">
        <v>3664</v>
      </c>
      <c r="H9" s="64">
        <f t="shared" si="2"/>
        <v>40.711111111111109</v>
      </c>
      <c r="I9" s="27" t="str">
        <f t="shared" si="3"/>
        <v>01 dias, 16 hora(s), 42 minuto(s), 40 segundos</v>
      </c>
      <c r="J9" s="8" t="s">
        <v>15</v>
      </c>
      <c r="K9" s="10">
        <v>6500.36</v>
      </c>
      <c r="L9" s="10">
        <v>22963.33</v>
      </c>
    </row>
    <row r="10" spans="2:12" ht="18" customHeight="1" x14ac:dyDescent="0.25">
      <c r="B10" s="49">
        <v>46114</v>
      </c>
      <c r="C10" s="49">
        <f>B10+5</f>
        <v>46119</v>
      </c>
      <c r="D10" s="32">
        <f t="shared" si="0"/>
        <v>5</v>
      </c>
      <c r="E10" s="50" t="s">
        <v>45</v>
      </c>
      <c r="F10" s="51" t="str">
        <f t="shared" si="1"/>
        <v>TO</v>
      </c>
      <c r="G10" s="52">
        <v>2820</v>
      </c>
      <c r="H10" s="65">
        <f t="shared" si="2"/>
        <v>31.333333333333332</v>
      </c>
      <c r="I10" s="53" t="str">
        <f t="shared" si="3"/>
        <v>01 dias, 07 hora(s), 20 minuto(s), 00 segundos</v>
      </c>
      <c r="J10" s="50" t="s">
        <v>48</v>
      </c>
      <c r="K10" s="54">
        <v>7500</v>
      </c>
      <c r="L10" s="54">
        <v>18000</v>
      </c>
    </row>
    <row r="11" spans="2:12" ht="18" customHeight="1" x14ac:dyDescent="0.25">
      <c r="B11" s="49">
        <v>46091</v>
      </c>
      <c r="C11" s="49">
        <f t="shared" ref="C11:C12" si="4">B11+5</f>
        <v>46096</v>
      </c>
      <c r="D11" s="32">
        <f t="shared" si="0"/>
        <v>5</v>
      </c>
      <c r="E11" s="50" t="s">
        <v>46</v>
      </c>
      <c r="F11" s="51" t="str">
        <f t="shared" si="1"/>
        <v>ES</v>
      </c>
      <c r="G11" s="52">
        <v>2480</v>
      </c>
      <c r="H11" s="65">
        <f t="shared" si="2"/>
        <v>27.555555555555557</v>
      </c>
      <c r="I11" s="53" t="str">
        <f t="shared" si="3"/>
        <v>01 dias, 03 hora(s), 33 minuto(s), 20 segundos</v>
      </c>
      <c r="J11" s="50" t="s">
        <v>49</v>
      </c>
      <c r="K11" s="54">
        <v>8500</v>
      </c>
      <c r="L11" s="54">
        <v>25000</v>
      </c>
    </row>
    <row r="12" spans="2:12" ht="18" customHeight="1" x14ac:dyDescent="0.25">
      <c r="B12" s="49">
        <v>46047</v>
      </c>
      <c r="C12" s="49">
        <f t="shared" si="4"/>
        <v>46052</v>
      </c>
      <c r="D12" s="32">
        <f t="shared" si="0"/>
        <v>5</v>
      </c>
      <c r="E12" s="50" t="s">
        <v>47</v>
      </c>
      <c r="F12" s="51" t="str">
        <f t="shared" si="1"/>
        <v>MS</v>
      </c>
      <c r="G12" s="52">
        <v>1624</v>
      </c>
      <c r="H12" s="65">
        <f t="shared" si="2"/>
        <v>18.044444444444444</v>
      </c>
      <c r="I12" s="53" t="str">
        <f t="shared" si="3"/>
        <v>00 dias, 18 hora(s), 02 minuto(s), 40 segundos</v>
      </c>
      <c r="J12" s="50" t="s">
        <v>50</v>
      </c>
      <c r="K12" s="54">
        <v>9500</v>
      </c>
      <c r="L12" s="54">
        <v>12450</v>
      </c>
    </row>
    <row r="13" spans="2:12" ht="18" customHeight="1" x14ac:dyDescent="0.25">
      <c r="B13" s="7">
        <v>45982</v>
      </c>
      <c r="C13" s="7">
        <f>B13+9</f>
        <v>45991</v>
      </c>
      <c r="D13" s="32">
        <f t="shared" si="0"/>
        <v>9</v>
      </c>
      <c r="E13" s="8" t="s">
        <v>6</v>
      </c>
      <c r="F13" s="33" t="str">
        <f t="shared" si="1"/>
        <v>SP</v>
      </c>
      <c r="G13" s="5">
        <v>799</v>
      </c>
      <c r="H13" s="64">
        <f t="shared" si="2"/>
        <v>8.8777777777777782</v>
      </c>
      <c r="I13" s="27" t="str">
        <f t="shared" si="3"/>
        <v>00 dias, 08 hora(s), 52 minuto(s), 40 segundos</v>
      </c>
      <c r="J13" s="8" t="s">
        <v>16</v>
      </c>
      <c r="K13" s="10">
        <v>2406.79</v>
      </c>
      <c r="L13" s="10">
        <v>5415.77</v>
      </c>
    </row>
    <row r="14" spans="2:12" ht="18" customHeight="1" x14ac:dyDescent="0.25">
      <c r="B14" s="7">
        <v>45906</v>
      </c>
      <c r="C14" s="7">
        <f>B14+8</f>
        <v>45914</v>
      </c>
      <c r="D14" s="32">
        <f t="shared" si="0"/>
        <v>8</v>
      </c>
      <c r="E14" s="8" t="s">
        <v>9</v>
      </c>
      <c r="F14" s="33" t="str">
        <f t="shared" si="1"/>
        <v>PR</v>
      </c>
      <c r="G14" s="5">
        <v>1457</v>
      </c>
      <c r="H14" s="64">
        <f t="shared" si="2"/>
        <v>16.18888888888889</v>
      </c>
      <c r="I14" s="27" t="str">
        <f t="shared" si="3"/>
        <v>00 dias, 16 hora(s), 11 minuto(s), 20 segundos</v>
      </c>
      <c r="J14" s="8" t="s">
        <v>13</v>
      </c>
      <c r="K14" s="10">
        <v>3537.57</v>
      </c>
      <c r="L14" s="10">
        <v>9446.19</v>
      </c>
    </row>
    <row r="15" spans="2:12" ht="18" customHeight="1" x14ac:dyDescent="0.25">
      <c r="B15" s="7">
        <v>45961</v>
      </c>
      <c r="C15" s="7">
        <f>B15+7</f>
        <v>45968</v>
      </c>
      <c r="D15" s="32">
        <f t="shared" si="0"/>
        <v>7</v>
      </c>
      <c r="E15" s="8" t="s">
        <v>8</v>
      </c>
      <c r="F15" s="33" t="str">
        <f t="shared" si="1"/>
        <v>GO</v>
      </c>
      <c r="G15" s="5">
        <v>1052</v>
      </c>
      <c r="H15" s="64">
        <f t="shared" si="2"/>
        <v>11.688888888888888</v>
      </c>
      <c r="I15" s="27" t="str">
        <f t="shared" si="3"/>
        <v>00 dias, 11 hora(s), 41 minuto(s), 20 segundos</v>
      </c>
      <c r="J15" s="8" t="s">
        <v>14</v>
      </c>
      <c r="K15" s="10">
        <v>1976.18</v>
      </c>
      <c r="L15" s="10">
        <v>6966.1</v>
      </c>
    </row>
    <row r="16" spans="2:12" ht="18" customHeight="1" x14ac:dyDescent="0.25">
      <c r="B16" s="7">
        <v>46166</v>
      </c>
      <c r="C16" s="7">
        <f>B16+6</f>
        <v>46172</v>
      </c>
      <c r="D16" s="32">
        <f t="shared" si="0"/>
        <v>6</v>
      </c>
      <c r="E16" s="8" t="s">
        <v>3</v>
      </c>
      <c r="F16" s="33" t="str">
        <f t="shared" si="1"/>
        <v>RS</v>
      </c>
      <c r="G16" s="5">
        <v>2909</v>
      </c>
      <c r="H16" s="64">
        <f t="shared" si="2"/>
        <v>32.322222222222223</v>
      </c>
      <c r="I16" s="27" t="str">
        <f t="shared" si="3"/>
        <v>01 dias, 08 hora(s), 19 minuto(s), 20 segundos</v>
      </c>
      <c r="J16" s="8" t="s">
        <v>16</v>
      </c>
      <c r="K16" s="10">
        <v>6094.88</v>
      </c>
      <c r="L16" s="10">
        <v>18343.55</v>
      </c>
    </row>
    <row r="17" spans="2:12" ht="18" customHeight="1" x14ac:dyDescent="0.25">
      <c r="B17" s="7">
        <v>46065</v>
      </c>
      <c r="C17" s="7">
        <f>B17+5</f>
        <v>46070</v>
      </c>
      <c r="D17" s="32">
        <f t="shared" si="0"/>
        <v>5</v>
      </c>
      <c r="E17" s="8" t="s">
        <v>2</v>
      </c>
      <c r="F17" s="33" t="str">
        <f t="shared" si="1"/>
        <v>PE</v>
      </c>
      <c r="G17" s="5">
        <v>5013</v>
      </c>
      <c r="H17" s="64">
        <f t="shared" si="2"/>
        <v>55.7</v>
      </c>
      <c r="I17" s="27" t="str">
        <f t="shared" si="3"/>
        <v>02 dias, 07 hora(s), 42 minuto(s), 00 segundos</v>
      </c>
      <c r="J17" s="8" t="s">
        <v>17</v>
      </c>
      <c r="K17" s="10">
        <v>8389.85</v>
      </c>
      <c r="L17" s="10">
        <v>31228.11</v>
      </c>
    </row>
    <row r="18" spans="2:12" ht="18" customHeight="1" x14ac:dyDescent="0.25">
      <c r="B18" s="7">
        <v>45903</v>
      </c>
      <c r="C18" s="7">
        <f>B18+12</f>
        <v>45915</v>
      </c>
      <c r="D18" s="32">
        <f t="shared" si="0"/>
        <v>12</v>
      </c>
      <c r="E18" s="8" t="s">
        <v>5</v>
      </c>
      <c r="F18" s="33" t="str">
        <f t="shared" si="1"/>
        <v>RJ</v>
      </c>
      <c r="G18" s="5">
        <v>1585</v>
      </c>
      <c r="H18" s="64">
        <f t="shared" si="2"/>
        <v>17.611111111111111</v>
      </c>
      <c r="I18" s="27" t="str">
        <f t="shared" si="3"/>
        <v>00 dias, 17 hora(s), 36 minuto(s), 40 segundos</v>
      </c>
      <c r="J18" s="8" t="s">
        <v>13</v>
      </c>
      <c r="K18" s="10">
        <v>4363.38</v>
      </c>
      <c r="L18" s="10">
        <v>10234.4</v>
      </c>
    </row>
    <row r="19" spans="2:12" ht="18" customHeight="1" x14ac:dyDescent="0.25">
      <c r="B19" s="7">
        <v>46005</v>
      </c>
      <c r="C19" s="7">
        <f>B19+11</f>
        <v>46016</v>
      </c>
      <c r="D19" s="32">
        <f t="shared" si="0"/>
        <v>11</v>
      </c>
      <c r="E19" s="8" t="s">
        <v>7</v>
      </c>
      <c r="F19" s="33" t="str">
        <f t="shared" si="1"/>
        <v>BA</v>
      </c>
      <c r="G19" s="5">
        <v>3664</v>
      </c>
      <c r="H19" s="64">
        <f t="shared" si="2"/>
        <v>40.711111111111109</v>
      </c>
      <c r="I19" s="27" t="str">
        <f t="shared" si="3"/>
        <v>01 dias, 16 hora(s), 42 minuto(s), 40 segundos</v>
      </c>
      <c r="J19" s="8" t="s">
        <v>15</v>
      </c>
      <c r="K19" s="10">
        <v>6500.36</v>
      </c>
      <c r="L19" s="10">
        <v>22963.33</v>
      </c>
    </row>
    <row r="20" spans="2:12" ht="18" customHeight="1" x14ac:dyDescent="0.25">
      <c r="B20" s="7">
        <v>46144</v>
      </c>
      <c r="C20" s="7">
        <f>B20+20</f>
        <v>46164</v>
      </c>
      <c r="D20" s="32">
        <f t="shared" si="0"/>
        <v>20</v>
      </c>
      <c r="E20" s="8" t="s">
        <v>6</v>
      </c>
      <c r="F20" s="33" t="str">
        <f t="shared" si="1"/>
        <v>SP</v>
      </c>
      <c r="G20" s="5">
        <v>799</v>
      </c>
      <c r="H20" s="64">
        <f t="shared" si="2"/>
        <v>8.8777777777777782</v>
      </c>
      <c r="I20" s="27" t="str">
        <f t="shared" si="3"/>
        <v>00 dias, 08 hora(s), 52 minuto(s), 40 segundos</v>
      </c>
      <c r="J20" s="8" t="s">
        <v>16</v>
      </c>
      <c r="K20" s="10">
        <v>2406.79</v>
      </c>
      <c r="L20" s="10">
        <v>5415.77</v>
      </c>
    </row>
    <row r="21" spans="2:12" ht="15.75" thickBot="1" x14ac:dyDescent="0.3">
      <c r="B21" s="3"/>
      <c r="C21" s="3"/>
    </row>
    <row r="22" spans="2:12" ht="18" customHeight="1" x14ac:dyDescent="0.25">
      <c r="B22" s="47" t="s">
        <v>23</v>
      </c>
      <c r="C22" s="48"/>
      <c r="E22" s="22" t="s">
        <v>24</v>
      </c>
      <c r="F22" s="11"/>
      <c r="I22" s="21" t="s">
        <v>41</v>
      </c>
      <c r="J22" s="18"/>
    </row>
    <row r="23" spans="2:12" ht="18" customHeight="1" thickBot="1" x14ac:dyDescent="0.3">
      <c r="B23" s="41" t="s">
        <v>10</v>
      </c>
      <c r="C23" s="42"/>
      <c r="E23" s="23" t="s">
        <v>48</v>
      </c>
      <c r="F23" s="12"/>
      <c r="I23" s="20"/>
      <c r="J23" s="19"/>
    </row>
    <row r="24" spans="2:12" ht="18" customHeight="1" thickBot="1" x14ac:dyDescent="0.3">
      <c r="B24" s="39" t="s">
        <v>22</v>
      </c>
      <c r="C24" s="40"/>
      <c r="E24" s="24" t="s">
        <v>22</v>
      </c>
      <c r="F24" s="11"/>
      <c r="H24" s="43"/>
      <c r="I24" s="43"/>
      <c r="J24" s="43"/>
    </row>
    <row r="25" spans="2:12" ht="18" customHeight="1" thickBot="1" x14ac:dyDescent="0.3">
      <c r="B25" s="57">
        <f>SUMIF(Destinos,B23,Fretes)</f>
        <v>7793.19</v>
      </c>
      <c r="C25" s="58"/>
      <c r="E25" s="59">
        <f>SUMIF(Motoristas,E23,Fretes)</f>
        <v>18000</v>
      </c>
      <c r="F25" s="12"/>
      <c r="I25" s="21" t="s">
        <v>29</v>
      </c>
      <c r="J25" s="18"/>
    </row>
    <row r="26" spans="2:12" ht="18" customHeight="1" x14ac:dyDescent="0.25">
      <c r="B26" s="46" t="s">
        <v>51</v>
      </c>
      <c r="C26" s="46"/>
      <c r="E26" s="63" t="s">
        <v>55</v>
      </c>
      <c r="F26" s="12"/>
      <c r="I26" s="26"/>
      <c r="J26" s="18"/>
    </row>
    <row r="27" spans="2:12" ht="18" customHeight="1" thickBot="1" x14ac:dyDescent="0.3">
      <c r="B27" s="43"/>
      <c r="C27" s="43"/>
      <c r="I27" s="20"/>
      <c r="J27" s="19"/>
    </row>
    <row r="28" spans="2:12" ht="18" customHeight="1" thickBot="1" x14ac:dyDescent="0.3">
      <c r="B28" s="37" t="s">
        <v>25</v>
      </c>
      <c r="C28" s="38"/>
      <c r="E28" s="22" t="s">
        <v>34</v>
      </c>
      <c r="F28" s="11"/>
      <c r="H28" s="43"/>
      <c r="I28" s="43"/>
      <c r="J28" s="43"/>
    </row>
    <row r="29" spans="2:12" ht="18" customHeight="1" thickBot="1" x14ac:dyDescent="0.3">
      <c r="B29" s="39" t="s">
        <v>26</v>
      </c>
      <c r="C29" s="40"/>
      <c r="E29" s="34">
        <f>AVERAGE(D4:D20)</f>
        <v>8.4117647058823533</v>
      </c>
      <c r="F29" s="12"/>
      <c r="I29" s="21" t="s">
        <v>42</v>
      </c>
      <c r="J29" s="18"/>
    </row>
    <row r="30" spans="2:12" ht="18" customHeight="1" thickBot="1" x14ac:dyDescent="0.3">
      <c r="B30" s="61">
        <v>45962</v>
      </c>
      <c r="C30" s="42"/>
      <c r="E30" s="31" t="s">
        <v>44</v>
      </c>
      <c r="I30" s="20"/>
      <c r="J30" s="19"/>
    </row>
    <row r="31" spans="2:12" ht="18" customHeight="1" x14ac:dyDescent="0.25">
      <c r="B31" s="39" t="s">
        <v>27</v>
      </c>
      <c r="C31" s="40"/>
      <c r="E31" s="22" t="s">
        <v>28</v>
      </c>
      <c r="F31" s="11"/>
    </row>
    <row r="32" spans="2:12" ht="18" customHeight="1" thickBot="1" x14ac:dyDescent="0.3">
      <c r="B32" s="61">
        <v>46023</v>
      </c>
      <c r="C32" s="42"/>
      <c r="E32" s="25" t="s">
        <v>52</v>
      </c>
    </row>
    <row r="33" spans="2:6" ht="18" customHeight="1" thickBot="1" x14ac:dyDescent="0.3">
      <c r="B33" s="55"/>
      <c r="C33" s="56"/>
      <c r="E33" s="66">
        <f>AVERAGEIF(F4:F20,E32,D4:D20)</f>
        <v>6</v>
      </c>
      <c r="F33" s="12"/>
    </row>
    <row r="34" spans="2:6" x14ac:dyDescent="0.25">
      <c r="B34" s="62" t="s">
        <v>54</v>
      </c>
      <c r="C34" s="62"/>
      <c r="D34" s="62"/>
      <c r="E34" s="60" t="s">
        <v>53</v>
      </c>
    </row>
    <row r="35" spans="2:6" x14ac:dyDescent="0.25">
      <c r="B35"/>
      <c r="C35" s="3"/>
    </row>
    <row r="42" spans="2:6" x14ac:dyDescent="0.25">
      <c r="B42"/>
    </row>
  </sheetData>
  <autoFilter ref="B3:J3" xr:uid="{84977A75-63E6-465B-876C-1551E84420CF}">
    <sortState xmlns:xlrd2="http://schemas.microsoft.com/office/spreadsheetml/2017/richdata2" ref="B4:J52">
      <sortCondition ref="E3"/>
    </sortState>
  </autoFilter>
  <mergeCells count="18">
    <mergeCell ref="B27:C27"/>
    <mergeCell ref="B34:D34"/>
    <mergeCell ref="F2:J2"/>
    <mergeCell ref="F1:J1"/>
    <mergeCell ref="B33:C33"/>
    <mergeCell ref="B28:C28"/>
    <mergeCell ref="B29:C29"/>
    <mergeCell ref="B30:C30"/>
    <mergeCell ref="B31:C31"/>
    <mergeCell ref="B32:C32"/>
    <mergeCell ref="H24:J24"/>
    <mergeCell ref="H28:J28"/>
    <mergeCell ref="B1:D2"/>
    <mergeCell ref="B26:C26"/>
    <mergeCell ref="B22:C22"/>
    <mergeCell ref="B24:C24"/>
    <mergeCell ref="B23:C23"/>
    <mergeCell ref="B25:C25"/>
  </mergeCells>
  <dataValidations count="4">
    <dataValidation type="list" allowBlank="1" showInputMessage="1" showErrorMessage="1" sqref="E2" xr:uid="{B72A01B5-D524-4E54-83CF-39C6147C2C75}">
      <formula1>"Guariroba - SP,Jurupema - SP,Taquaritinga - SP,Vila Negri - SP"</formula1>
    </dataValidation>
    <dataValidation type="list" allowBlank="1" showInputMessage="1" showErrorMessage="1" sqref="B23:C23" xr:uid="{5D55BAFB-7DF3-482B-872A-989542ED9ECE}">
      <formula1>Destinos</formula1>
    </dataValidation>
    <dataValidation type="list" allowBlank="1" showInputMessage="1" showErrorMessage="1" sqref="E23" xr:uid="{F26FBDF0-A241-4428-8D53-DED99D99A8C8}">
      <formula1>Motoristas</formula1>
    </dataValidation>
    <dataValidation type="list" allowBlank="1" showInputMessage="1" showErrorMessage="1" sqref="E32" xr:uid="{026CD0E2-7EB0-4AF1-BB74-206A2FA83D77}">
      <formula1>Estados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4</vt:i4>
      </vt:variant>
    </vt:vector>
  </HeadingPairs>
  <TitlesOfParts>
    <vt:vector size="5" baseType="lpstr">
      <vt:lpstr>Transp</vt:lpstr>
      <vt:lpstr>Destinos</vt:lpstr>
      <vt:lpstr>Estados</vt:lpstr>
      <vt:lpstr>Fretes</vt:lpstr>
      <vt:lpstr>Motoristas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2026-05-26T21:41:19Z</dcterms:modified>
</cp:coreProperties>
</file>