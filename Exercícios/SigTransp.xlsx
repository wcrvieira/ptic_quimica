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las\4. Projetos TIC - Química\ptic_quimica\Exercícios\"/>
    </mc:Choice>
  </mc:AlternateContent>
  <xr:revisionPtr revIDLastSave="0" documentId="13_ncr:1_{29E95855-05AF-4451-8987-A842C4D64060}" xr6:coauthVersionLast="47" xr6:coauthVersionMax="47" xr10:uidLastSave="{00000000-0000-0000-0000-000000000000}"/>
  <bookViews>
    <workbookView xWindow="20370" yWindow="-120" windowWidth="20730" windowHeight="11040" xr2:uid="{DF3537CB-6E0A-4E7C-ABFB-B677C0E8847D}"/>
  </bookViews>
  <sheets>
    <sheet name="Transp" sheetId="1" r:id="rId1"/>
  </sheets>
  <definedNames>
    <definedName name="_xlnm._FilterDatabase" localSheetId="0" hidden="1">Transp!$B$3:$J$3</definedName>
    <definedName name="Destinos">Transp!$E$4:$E$17</definedName>
    <definedName name="Estados">Transp!$F$4:$F$17</definedName>
    <definedName name="Fretes">Transp!$L$4:$L$17</definedName>
    <definedName name="Motoristas">Transp!$J$4:$J$17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4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19C608-4888-443D-8F43-757DFC98A145}" keepAlive="1" name="Consulta - Código HTML" description="Conexão com a consulta 'Código HTML' na pasta de trabalho." type="5" refreshedVersion="0" background="1">
    <dbPr connection="Provider=Microsoft.Mashup.OleDb.1;Data Source=$Workbook$;Location=&quot;Código HTML&quot;;Extended Properties=&quot;&quot;" command="SELECT * FROM [Código HTML]"/>
  </connection>
</connections>
</file>

<file path=xl/sharedStrings.xml><?xml version="1.0" encoding="utf-8"?>
<sst xmlns="http://schemas.openxmlformats.org/spreadsheetml/2006/main" count="59" uniqueCount="46">
  <si>
    <t>Data Pedido</t>
  </si>
  <si>
    <t>Data Entrega</t>
  </si>
  <si>
    <t>Recife - PE</t>
  </si>
  <si>
    <t>Porto Alegre - RS</t>
  </si>
  <si>
    <t>Campinas - SP</t>
  </si>
  <si>
    <t>Rio de Janeiro - RJ</t>
  </si>
  <si>
    <t>São Paulo - SP</t>
  </si>
  <si>
    <t>Salvador - BA</t>
  </si>
  <si>
    <t>Goiânia - GO</t>
  </si>
  <si>
    <t>Curitiba - PR</t>
  </si>
  <si>
    <t>Belo Horizonte - MG</t>
  </si>
  <si>
    <t>Aline Silva</t>
  </si>
  <si>
    <t>Ana Filardi</t>
  </si>
  <si>
    <t>Caio Amorim</t>
  </si>
  <si>
    <t>João Castro</t>
  </si>
  <si>
    <t>Matheus Castro</t>
  </si>
  <si>
    <t>Poline Almeida</t>
  </si>
  <si>
    <t>Victor Fonseca</t>
  </si>
  <si>
    <t>Destino</t>
  </si>
  <si>
    <t>Custos</t>
  </si>
  <si>
    <t>Frete</t>
  </si>
  <si>
    <t>Motorista</t>
  </si>
  <si>
    <t>Valor de fretes</t>
  </si>
  <si>
    <t>Escolha o destino</t>
  </si>
  <si>
    <t>Escolha o motorista</t>
  </si>
  <si>
    <t>Escolha o período</t>
  </si>
  <si>
    <t>Data inicial</t>
  </si>
  <si>
    <t>Data final</t>
  </si>
  <si>
    <t>Média de entrega por UF</t>
  </si>
  <si>
    <t>Média de custos</t>
  </si>
  <si>
    <t>Prazo (dias úteis)</t>
  </si>
  <si>
    <t>Transportadora Rumo Certo</t>
  </si>
  <si>
    <t>Distância (km)</t>
  </si>
  <si>
    <t>Tempo viagem (horas)</t>
  </si>
  <si>
    <t>Média de entrega (dias)</t>
  </si>
  <si>
    <t>Origem</t>
  </si>
  <si>
    <t>Hora atual</t>
  </si>
  <si>
    <t>Data atual</t>
  </si>
  <si>
    <t>Velocidade média</t>
  </si>
  <si>
    <t>Estado</t>
  </si>
  <si>
    <t>Taquaritinga - SP</t>
  </si>
  <si>
    <t>Custos totais (Soma dos custos)</t>
  </si>
  <si>
    <t>Faturamento (Total de fretes)</t>
  </si>
  <si>
    <t>Tempo detalhado (Coluna automática - não mexer)</t>
  </si>
  <si>
    <t>=SOMASE(Destinos;B20;Fretes)</t>
  </si>
  <si>
    <t>=MÉDIA(D4:D17)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</si>
</sst>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h:mm:ss;@"/>
    <numFmt numFmtId="165" formatCode="[$-F800]dddd\,\ mmmm\ dd\,\ yyyy"/>
    <numFmt numFmtId="166" formatCode="0.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1"/>
      <color rgb="FFFFC000"/>
      <name val="Arial"/>
      <family val="2"/>
    </font>
    <font>
      <b/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6" fillId="0" borderId="11" xfId="0" applyFont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/>
    </xf>
    <xf numFmtId="0" fontId="6" fillId="0" borderId="11" xfId="0" applyFont="1" applyBorder="1"/>
    <xf numFmtId="44" fontId="6" fillId="0" borderId="11" xfId="0" applyNumberFormat="1" applyFont="1" applyBorder="1"/>
    <xf numFmtId="44" fontId="6" fillId="0" borderId="11" xfId="1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16" xfId="0" applyFont="1" applyBorder="1"/>
    <xf numFmtId="0" fontId="1" fillId="3" borderId="1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165" fontId="8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Border="1"/>
    <xf numFmtId="0" fontId="1" fillId="3" borderId="17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/>
    </xf>
    <xf numFmtId="166" fontId="6" fillId="5" borderId="11" xfId="0" applyNumberFormat="1" applyFont="1" applyFill="1" applyBorder="1" applyAlignment="1">
      <alignment horizontal="right"/>
    </xf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3" fillId="5" borderId="10" xfId="0" applyFont="1" applyFill="1" applyBorder="1"/>
    <xf numFmtId="0" fontId="3" fillId="5" borderId="10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157370</xdr:colOff>
      <xdr:row>0</xdr:row>
      <xdr:rowOff>57980</xdr:rowOff>
    </xdr:from>
    <xdr:to>
      <xdr:col>1</xdr:col>
      <xdr:colOff>563218</xdr:colOff>
      <xdr:row>1</xdr:row>
      <xdr:rowOff>273328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141A506-A790-AA4D-8374-23179E88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57" y="57980"/>
          <a:ext cx="405848" cy="405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7A75-63E6-465B-876C-1551E84420CF}">
  <dimension ref="B1:L39"/>
  <sheetViews>
    <sheetView showGridLines="0" tabSelected="1" topLeftCell="A3" zoomScale="130" zoomScaleNormal="130" workbookViewId="0">
      <selection activeCell="E29" sqref="E29"/>
    </sheetView>
  </sheetViews>
  <sheetFormatPr defaultRowHeight="15" x14ac:dyDescent="0.25"/>
  <cols>
    <col min="1" max="1" width="2.28515625" customWidth="1"/>
    <col min="2" max="3" width="15.85546875" style="1" customWidth="1"/>
    <col min="4" max="4" width="9.7109375" style="2" customWidth="1"/>
    <col min="5" max="5" width="21.85546875" customWidth="1"/>
    <col min="6" max="6" width="10.28515625" style="1" customWidth="1"/>
    <col min="7" max="7" width="10.85546875" customWidth="1"/>
    <col min="8" max="8" width="13.140625" customWidth="1"/>
    <col min="9" max="9" width="45.5703125" bestFit="1" customWidth="1"/>
    <col min="10" max="10" width="15.85546875" bestFit="1" customWidth="1"/>
    <col min="11" max="11" width="13.7109375" customWidth="1"/>
    <col min="12" max="12" width="17.85546875" customWidth="1"/>
  </cols>
  <sheetData>
    <row r="1" spans="2:12" x14ac:dyDescent="0.25">
      <c r="B1" s="35" t="s">
        <v>31</v>
      </c>
      <c r="C1" s="35"/>
      <c r="D1" s="35"/>
      <c r="E1" s="14" t="s">
        <v>35</v>
      </c>
      <c r="F1" s="30" t="s">
        <v>37</v>
      </c>
      <c r="G1" s="30"/>
      <c r="H1" s="30"/>
      <c r="I1" s="30"/>
      <c r="J1" s="30"/>
      <c r="K1" s="14" t="s">
        <v>36</v>
      </c>
      <c r="L1" s="14" t="s">
        <v>38</v>
      </c>
    </row>
    <row r="2" spans="2:12" s="4" customFormat="1" ht="23.25" customHeight="1" x14ac:dyDescent="0.25">
      <c r="B2" s="36"/>
      <c r="C2" s="36"/>
      <c r="D2" s="36"/>
      <c r="E2" s="15" t="s">
        <v>40</v>
      </c>
      <c r="F2" s="29" t="str">
        <f ca="1">"Hoje é "&amp;TEXT(NOW(),"dddd"", dia ""dd"" de ""mmmm"" de ""aaaa"". Horário: ""hh:mm:ss")</f>
        <v>Hoje é terça-feira, dia 19 de maio de 2026. Horário: 13:08:23</v>
      </c>
      <c r="G2" s="29"/>
      <c r="H2" s="29"/>
      <c r="I2" s="29"/>
      <c r="J2" s="29"/>
      <c r="K2" s="17">
        <v>0.61111111111111116</v>
      </c>
      <c r="L2" s="15">
        <v>90</v>
      </c>
    </row>
    <row r="3" spans="2:12" ht="45" x14ac:dyDescent="0.25">
      <c r="B3" s="6" t="s">
        <v>0</v>
      </c>
      <c r="C3" s="6" t="s">
        <v>1</v>
      </c>
      <c r="D3" s="44" t="s">
        <v>30</v>
      </c>
      <c r="E3" s="13" t="s">
        <v>18</v>
      </c>
      <c r="F3" s="45" t="s">
        <v>39</v>
      </c>
      <c r="G3" s="16" t="s">
        <v>32</v>
      </c>
      <c r="H3" s="46" t="s">
        <v>33</v>
      </c>
      <c r="I3" s="16" t="s">
        <v>43</v>
      </c>
      <c r="J3" s="13" t="s">
        <v>21</v>
      </c>
      <c r="K3" s="13" t="s">
        <v>19</v>
      </c>
      <c r="L3" s="13" t="s">
        <v>20</v>
      </c>
    </row>
    <row r="4" spans="2:12" ht="18" customHeight="1" x14ac:dyDescent="0.25">
      <c r="B4" s="7">
        <v>46365</v>
      </c>
      <c r="C4" s="7">
        <f>B4+6</f>
        <v>46371</v>
      </c>
      <c r="D4" s="49"/>
      <c r="E4" s="8" t="s">
        <v>10</v>
      </c>
      <c r="F4" s="50"/>
      <c r="G4" s="5">
        <v>1187</v>
      </c>
      <c r="H4" s="51"/>
      <c r="I4" s="43" t="str">
        <f>IF(H4&lt;&gt;"",TEXT(H4/24,"dd"" dias, ""hh"" hora(s), ""mm"" minuto(s), ""ss"" segundos"""),"")</f>
        <v/>
      </c>
      <c r="J4" s="8" t="s">
        <v>12</v>
      </c>
      <c r="K4" s="9">
        <v>2686.67</v>
      </c>
      <c r="L4" s="9">
        <v>7793.19</v>
      </c>
    </row>
    <row r="5" spans="2:12" ht="18" customHeight="1" x14ac:dyDescent="0.25">
      <c r="B5" s="7">
        <v>46339</v>
      </c>
      <c r="C5" s="7">
        <f>B5+7</f>
        <v>46346</v>
      </c>
      <c r="D5" s="49"/>
      <c r="E5" s="8" t="s">
        <v>4</v>
      </c>
      <c r="F5" s="50"/>
      <c r="G5" s="5">
        <v>587</v>
      </c>
      <c r="H5" s="51"/>
      <c r="I5" s="43" t="str">
        <f t="shared" ref="I5:I17" si="0">IF(H5&lt;&gt;"",TEXT(H5/24,"dd"" dias, ""hh"" hora(s), ""mm"" minuto(s), ""ss"" segundos"""),"")</f>
        <v/>
      </c>
      <c r="J5" s="8" t="s">
        <v>11</v>
      </c>
      <c r="K5" s="10">
        <v>1787.03</v>
      </c>
      <c r="L5" s="10">
        <v>4116.8500000000004</v>
      </c>
    </row>
    <row r="6" spans="2:12" ht="18" customHeight="1" x14ac:dyDescent="0.25">
      <c r="B6" s="7">
        <v>46358</v>
      </c>
      <c r="C6" s="7">
        <f>B6+8</f>
        <v>46366</v>
      </c>
      <c r="D6" s="49"/>
      <c r="E6" s="8" t="s">
        <v>2</v>
      </c>
      <c r="F6" s="50"/>
      <c r="G6" s="5">
        <v>5013</v>
      </c>
      <c r="H6" s="51"/>
      <c r="I6" s="43" t="str">
        <f t="shared" si="0"/>
        <v/>
      </c>
      <c r="J6" s="8" t="s">
        <v>17</v>
      </c>
      <c r="K6" s="10">
        <v>8389.85</v>
      </c>
      <c r="L6" s="10">
        <v>31228.11</v>
      </c>
    </row>
    <row r="7" spans="2:12" ht="18" customHeight="1" x14ac:dyDescent="0.25">
      <c r="B7" s="7">
        <v>46015</v>
      </c>
      <c r="C7" s="7">
        <f>B7+9</f>
        <v>46024</v>
      </c>
      <c r="D7" s="49"/>
      <c r="E7" s="8" t="s">
        <v>5</v>
      </c>
      <c r="F7" s="50"/>
      <c r="G7" s="5">
        <v>1585</v>
      </c>
      <c r="H7" s="51"/>
      <c r="I7" s="43" t="str">
        <f t="shared" si="0"/>
        <v/>
      </c>
      <c r="J7" s="8" t="s">
        <v>13</v>
      </c>
      <c r="K7" s="10">
        <v>4363.38</v>
      </c>
      <c r="L7" s="10">
        <v>10234.4</v>
      </c>
    </row>
    <row r="8" spans="2:12" ht="18" customHeight="1" x14ac:dyDescent="0.25">
      <c r="B8" s="7">
        <v>46167</v>
      </c>
      <c r="C8" s="7">
        <f>B8+10</f>
        <v>46177</v>
      </c>
      <c r="D8" s="49"/>
      <c r="E8" s="8" t="s">
        <v>7</v>
      </c>
      <c r="F8" s="50"/>
      <c r="G8" s="5">
        <v>3664</v>
      </c>
      <c r="H8" s="51"/>
      <c r="I8" s="43" t="str">
        <f t="shared" si="0"/>
        <v/>
      </c>
      <c r="J8" s="8" t="s">
        <v>15</v>
      </c>
      <c r="K8" s="10">
        <v>6500.36</v>
      </c>
      <c r="L8" s="10">
        <v>22963.33</v>
      </c>
    </row>
    <row r="9" spans="2:12" ht="18" customHeight="1" x14ac:dyDescent="0.25">
      <c r="B9" s="7">
        <v>46325</v>
      </c>
      <c r="C9" s="7">
        <f>B9+10</f>
        <v>46335</v>
      </c>
      <c r="D9" s="49"/>
      <c r="E9" s="8" t="s">
        <v>7</v>
      </c>
      <c r="F9" s="50"/>
      <c r="G9" s="5">
        <v>3664</v>
      </c>
      <c r="H9" s="51"/>
      <c r="I9" s="43" t="str">
        <f t="shared" si="0"/>
        <v/>
      </c>
      <c r="J9" s="8" t="s">
        <v>15</v>
      </c>
      <c r="K9" s="10">
        <v>6500.36</v>
      </c>
      <c r="L9" s="10">
        <v>22963.33</v>
      </c>
    </row>
    <row r="10" spans="2:12" ht="18" customHeight="1" x14ac:dyDescent="0.25">
      <c r="B10" s="7">
        <v>45982</v>
      </c>
      <c r="C10" s="7">
        <f>B10+9</f>
        <v>45991</v>
      </c>
      <c r="D10" s="49"/>
      <c r="E10" s="8" t="s">
        <v>6</v>
      </c>
      <c r="F10" s="50"/>
      <c r="G10" s="5">
        <v>799</v>
      </c>
      <c r="H10" s="51"/>
      <c r="I10" s="43" t="str">
        <f t="shared" si="0"/>
        <v/>
      </c>
      <c r="J10" s="8" t="s">
        <v>16</v>
      </c>
      <c r="K10" s="10">
        <v>2406.79</v>
      </c>
      <c r="L10" s="10">
        <v>5415.77</v>
      </c>
    </row>
    <row r="11" spans="2:12" ht="18" customHeight="1" x14ac:dyDescent="0.25">
      <c r="B11" s="7">
        <v>45906</v>
      </c>
      <c r="C11" s="7">
        <f>B11+8</f>
        <v>45914</v>
      </c>
      <c r="D11" s="49"/>
      <c r="E11" s="8" t="s">
        <v>9</v>
      </c>
      <c r="F11" s="50"/>
      <c r="G11" s="5">
        <v>1457</v>
      </c>
      <c r="H11" s="51"/>
      <c r="I11" s="43" t="str">
        <f t="shared" si="0"/>
        <v/>
      </c>
      <c r="J11" s="8" t="s">
        <v>13</v>
      </c>
      <c r="K11" s="10">
        <v>3537.57</v>
      </c>
      <c r="L11" s="10">
        <v>9446.19</v>
      </c>
    </row>
    <row r="12" spans="2:12" ht="18" customHeight="1" x14ac:dyDescent="0.25">
      <c r="B12" s="7">
        <v>45961</v>
      </c>
      <c r="C12" s="7">
        <f>B12+7</f>
        <v>45968</v>
      </c>
      <c r="D12" s="49"/>
      <c r="E12" s="8" t="s">
        <v>8</v>
      </c>
      <c r="F12" s="50"/>
      <c r="G12" s="5">
        <v>1052</v>
      </c>
      <c r="H12" s="51"/>
      <c r="I12" s="43" t="str">
        <f t="shared" si="0"/>
        <v/>
      </c>
      <c r="J12" s="8" t="s">
        <v>14</v>
      </c>
      <c r="K12" s="10">
        <v>1976.18</v>
      </c>
      <c r="L12" s="10">
        <v>6966.1</v>
      </c>
    </row>
    <row r="13" spans="2:12" ht="18" customHeight="1" x14ac:dyDescent="0.25">
      <c r="B13" s="7">
        <v>46166</v>
      </c>
      <c r="C13" s="7">
        <f>B13+6</f>
        <v>46172</v>
      </c>
      <c r="D13" s="49"/>
      <c r="E13" s="8" t="s">
        <v>3</v>
      </c>
      <c r="F13" s="50"/>
      <c r="G13" s="5">
        <v>2909</v>
      </c>
      <c r="H13" s="51"/>
      <c r="I13" s="43" t="str">
        <f t="shared" si="0"/>
        <v/>
      </c>
      <c r="J13" s="8" t="s">
        <v>16</v>
      </c>
      <c r="K13" s="10">
        <v>6094.88</v>
      </c>
      <c r="L13" s="10">
        <v>18343.55</v>
      </c>
    </row>
    <row r="14" spans="2:12" ht="18" customHeight="1" x14ac:dyDescent="0.25">
      <c r="B14" s="7">
        <v>46065</v>
      </c>
      <c r="C14" s="7">
        <f>B14+5</f>
        <v>46070</v>
      </c>
      <c r="D14" s="49"/>
      <c r="E14" s="8" t="s">
        <v>2</v>
      </c>
      <c r="F14" s="50"/>
      <c r="G14" s="5">
        <v>5013</v>
      </c>
      <c r="H14" s="51"/>
      <c r="I14" s="43" t="str">
        <f t="shared" si="0"/>
        <v/>
      </c>
      <c r="J14" s="8" t="s">
        <v>17</v>
      </c>
      <c r="K14" s="10">
        <v>8389.85</v>
      </c>
      <c r="L14" s="10">
        <v>31228.11</v>
      </c>
    </row>
    <row r="15" spans="2:12" ht="18" customHeight="1" x14ac:dyDescent="0.25">
      <c r="B15" s="7">
        <v>45903</v>
      </c>
      <c r="C15" s="7">
        <f>B15+12</f>
        <v>45915</v>
      </c>
      <c r="D15" s="49"/>
      <c r="E15" s="8" t="s">
        <v>5</v>
      </c>
      <c r="F15" s="50"/>
      <c r="G15" s="5">
        <v>1585</v>
      </c>
      <c r="H15" s="51"/>
      <c r="I15" s="43" t="str">
        <f t="shared" si="0"/>
        <v/>
      </c>
      <c r="J15" s="8" t="s">
        <v>13</v>
      </c>
      <c r="K15" s="10">
        <v>4363.38</v>
      </c>
      <c r="L15" s="10">
        <v>10234.4</v>
      </c>
    </row>
    <row r="16" spans="2:12" ht="18" customHeight="1" x14ac:dyDescent="0.25">
      <c r="B16" s="7">
        <v>46005</v>
      </c>
      <c r="C16" s="7">
        <f>B16+11</f>
        <v>46016</v>
      </c>
      <c r="D16" s="49"/>
      <c r="E16" s="8" t="s">
        <v>7</v>
      </c>
      <c r="F16" s="50"/>
      <c r="G16" s="5">
        <v>3664</v>
      </c>
      <c r="H16" s="51"/>
      <c r="I16" s="43" t="str">
        <f t="shared" si="0"/>
        <v/>
      </c>
      <c r="J16" s="8" t="s">
        <v>15</v>
      </c>
      <c r="K16" s="10">
        <v>6500.36</v>
      </c>
      <c r="L16" s="10">
        <v>22963.33</v>
      </c>
    </row>
    <row r="17" spans="2:12" ht="18" customHeight="1" x14ac:dyDescent="0.25">
      <c r="B17" s="7">
        <v>46144</v>
      </c>
      <c r="C17" s="7">
        <f>B17+20</f>
        <v>46164</v>
      </c>
      <c r="D17" s="49"/>
      <c r="E17" s="8" t="s">
        <v>6</v>
      </c>
      <c r="F17" s="50"/>
      <c r="G17" s="5">
        <v>799</v>
      </c>
      <c r="H17" s="51"/>
      <c r="I17" s="43" t="str">
        <f t="shared" si="0"/>
        <v/>
      </c>
      <c r="J17" s="8" t="s">
        <v>16</v>
      </c>
      <c r="K17" s="10">
        <v>2406.79</v>
      </c>
      <c r="L17" s="10">
        <v>5415.77</v>
      </c>
    </row>
    <row r="18" spans="2:12" ht="15.75" thickBot="1" x14ac:dyDescent="0.3">
      <c r="B18" s="3"/>
      <c r="C18" s="3"/>
    </row>
    <row r="19" spans="2:12" ht="18" customHeight="1" x14ac:dyDescent="0.25">
      <c r="B19" s="22" t="s">
        <v>23</v>
      </c>
      <c r="C19" s="23"/>
      <c r="E19" s="37" t="s">
        <v>24</v>
      </c>
      <c r="F19" s="11"/>
      <c r="I19" s="21" t="s">
        <v>41</v>
      </c>
      <c r="J19" s="18"/>
    </row>
    <row r="20" spans="2:12" ht="18" customHeight="1" thickBot="1" x14ac:dyDescent="0.3">
      <c r="B20" s="26"/>
      <c r="C20" s="27"/>
      <c r="E20" s="38"/>
      <c r="F20" s="12"/>
      <c r="I20" s="20"/>
      <c r="J20" s="19"/>
    </row>
    <row r="21" spans="2:12" ht="18" customHeight="1" thickBot="1" x14ac:dyDescent="0.3">
      <c r="B21" s="24" t="s">
        <v>22</v>
      </c>
      <c r="C21" s="25"/>
      <c r="E21" s="39" t="s">
        <v>22</v>
      </c>
      <c r="F21" s="11"/>
      <c r="H21" s="28"/>
      <c r="I21" s="28"/>
      <c r="J21" s="28"/>
    </row>
    <row r="22" spans="2:12" ht="18" customHeight="1" thickBot="1" x14ac:dyDescent="0.3">
      <c r="B22" s="52"/>
      <c r="C22" s="53"/>
      <c r="E22" s="54"/>
      <c r="F22" s="12"/>
      <c r="I22" s="21" t="s">
        <v>29</v>
      </c>
      <c r="J22" s="18"/>
    </row>
    <row r="23" spans="2:12" ht="18" customHeight="1" x14ac:dyDescent="0.25">
      <c r="B23" s="47" t="s">
        <v>44</v>
      </c>
      <c r="C23" s="47"/>
      <c r="E23" s="41"/>
      <c r="F23" s="12"/>
      <c r="I23" s="42"/>
      <c r="J23" s="18"/>
    </row>
    <row r="24" spans="2:12" ht="18" customHeight="1" thickBot="1" x14ac:dyDescent="0.3">
      <c r="B24" s="28"/>
      <c r="C24" s="28"/>
      <c r="I24" s="20"/>
      <c r="J24" s="19"/>
    </row>
    <row r="25" spans="2:12" ht="18" customHeight="1" thickBot="1" x14ac:dyDescent="0.3">
      <c r="B25" s="33" t="s">
        <v>25</v>
      </c>
      <c r="C25" s="34"/>
      <c r="E25" s="37" t="s">
        <v>34</v>
      </c>
      <c r="F25" s="11"/>
      <c r="H25" s="28"/>
      <c r="I25" s="28"/>
      <c r="J25" s="28"/>
    </row>
    <row r="26" spans="2:12" ht="18" customHeight="1" thickBot="1" x14ac:dyDescent="0.3">
      <c r="B26" s="24" t="s">
        <v>26</v>
      </c>
      <c r="C26" s="25"/>
      <c r="E26" s="55"/>
      <c r="F26" s="12"/>
      <c r="I26" s="21" t="s">
        <v>42</v>
      </c>
      <c r="J26" s="18"/>
    </row>
    <row r="27" spans="2:12" ht="18" customHeight="1" thickBot="1" x14ac:dyDescent="0.3">
      <c r="B27" s="26"/>
      <c r="C27" s="27"/>
      <c r="E27" s="48" t="s">
        <v>45</v>
      </c>
      <c r="I27" s="20"/>
      <c r="J27" s="19"/>
    </row>
    <row r="28" spans="2:12" ht="18" customHeight="1" x14ac:dyDescent="0.25">
      <c r="B28" s="24" t="s">
        <v>27</v>
      </c>
      <c r="C28" s="25"/>
      <c r="E28" s="37" t="s">
        <v>28</v>
      </c>
      <c r="F28" s="11"/>
    </row>
    <row r="29" spans="2:12" ht="18" customHeight="1" x14ac:dyDescent="0.25">
      <c r="B29" s="26"/>
      <c r="C29" s="27"/>
      <c r="E29" s="40"/>
    </row>
    <row r="30" spans="2:12" ht="18" customHeight="1" thickBot="1" x14ac:dyDescent="0.3">
      <c r="B30" s="31"/>
      <c r="C30" s="32"/>
      <c r="E30" s="55"/>
      <c r="F30" s="12"/>
    </row>
    <row r="32" spans="2:12" x14ac:dyDescent="0.25">
      <c r="B32"/>
      <c r="C32" s="3"/>
    </row>
    <row r="39" spans="2:2" x14ac:dyDescent="0.25">
      <c r="B39"/>
    </row>
  </sheetData>
  <autoFilter ref="B3:J3" xr:uid="{84977A75-63E6-465B-876C-1551E84420CF}">
    <sortState xmlns:xlrd2="http://schemas.microsoft.com/office/spreadsheetml/2017/richdata2" ref="B4:J52">
      <sortCondition ref="E3"/>
    </sortState>
  </autoFilter>
  <mergeCells count="17">
    <mergeCell ref="F2:J2"/>
    <mergeCell ref="F1:J1"/>
    <mergeCell ref="B30:C30"/>
    <mergeCell ref="B25:C25"/>
    <mergeCell ref="B26:C26"/>
    <mergeCell ref="B27:C27"/>
    <mergeCell ref="B28:C28"/>
    <mergeCell ref="B29:C29"/>
    <mergeCell ref="H21:J21"/>
    <mergeCell ref="H25:J25"/>
    <mergeCell ref="B1:D2"/>
    <mergeCell ref="B23:C23"/>
    <mergeCell ref="B19:C19"/>
    <mergeCell ref="B21:C21"/>
    <mergeCell ref="B20:C20"/>
    <mergeCell ref="B22:C22"/>
    <mergeCell ref="B24:C24"/>
  </mergeCells>
  <dataValidations count="4">
    <dataValidation type="list" allowBlank="1" showInputMessage="1" showErrorMessage="1" sqref="E2" xr:uid="{B72A01B5-D524-4E54-83CF-39C6147C2C75}">
      <formula1>"Guariroba - SP,Jurupema - SP,Taquaritinga - SP,Vila Negri - SP"</formula1>
    </dataValidation>
    <dataValidation type="list" allowBlank="1" showInputMessage="1" showErrorMessage="1" sqref="B20:C20" xr:uid="{5D55BAFB-7DF3-482B-872A-989542ED9ECE}">
      <formula1>Destinos</formula1>
    </dataValidation>
    <dataValidation type="list" allowBlank="1" showInputMessage="1" showErrorMessage="1" sqref="E20" xr:uid="{F26FBDF0-A241-4428-8D53-DED99D99A8C8}">
      <formula1>Motoristas</formula1>
    </dataValidation>
    <dataValidation type="list" allowBlank="1" showInputMessage="1" showErrorMessage="1" sqref="E29" xr:uid="{026CD0E2-7EB0-4AF1-BB74-206A2FA83D77}">
      <formula1>Estados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71A80B-7653-475C-A394-D64E06298A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Transp</vt:lpstr>
      <vt:lpstr>Destinos</vt:lpstr>
      <vt:lpstr>Estados</vt:lpstr>
      <vt:lpstr>Fretes</vt:lpstr>
      <vt:lpstr>Motoristas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CESAR VIEIRA</dc:creator>
  <cp:lastModifiedBy>Wagner Cesar Vieira</cp:lastModifiedBy>
  <dcterms:created xsi:type="dcterms:W3CDTF">2024-09-10T00:57:41Z</dcterms:created>
  <dcterms:modified xsi:type="dcterms:W3CDTF">2026-05-19T16:09:39Z</dcterms:modified>
</cp:coreProperties>
</file>